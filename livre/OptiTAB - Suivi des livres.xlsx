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Mathématiques" sheetId="2" state="visible" r:id="rId2"/>
    <sheet xmlns:r="http://schemas.openxmlformats.org/officeDocument/2006/relationships" name="Physique-chimie" sheetId="3" state="visible" r:id="rId3"/>
    <sheet xmlns:r="http://schemas.openxmlformats.org/officeDocument/2006/relationships" name="Mises à jour" sheetId="4" state="visible" r:id="rId4"/>
    <sheet xmlns:r="http://schemas.openxmlformats.org/officeDocument/2006/relationships" name="À décider" sheetId="5" state="visible" r:id="rId5"/>
    <sheet xmlns:r="http://schemas.openxmlformats.org/officeDocument/2006/relationships" name="Programmes officiels" sheetId="6" state="visible" r:id="rId6"/>
  </sheets>
  <definedNames>
    <definedName name="_xlnm._FilterDatabase" localSheetId="1" hidden="1">'Mathématiques'!$A$4:$N$52</definedName>
    <definedName name="_xlnm._FilterDatabase" localSheetId="2" hidden="1">'Physique-chimie'!$A$4:$N$28</definedName>
    <definedName name="_xlnm._FilterDatabase" localSheetId="3" hidden="1">'Mises à jour'!$A$4:$M$11</definedName>
    <definedName name="_xlnm._FilterDatabase" localSheetId="4" hidden="1">'À décider'!$A$4:$G$19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+0;\-0;0"/>
  </numFmts>
  <fonts count="13">
    <font>
      <name val="Calibri"/>
      <family val="2"/>
      <color theme="1"/>
      <sz val="11"/>
      <scheme val="minor"/>
    </font>
    <font>
      <name val="Arial"/>
      <b val="1"/>
      <color rgb="FF1B3C8E"/>
      <sz val="16"/>
    </font>
    <font>
      <name val="Arial"/>
      <i val="1"/>
      <color rgb="FF6B7385"/>
      <sz val="10"/>
    </font>
    <font>
      <name val="Arial"/>
      <b val="1"/>
      <color rgb="FFFFFFFF"/>
      <sz val="10"/>
    </font>
    <font>
      <name val="Arial"/>
      <color rgb="FF1C2130"/>
      <sz val="10"/>
    </font>
    <font>
      <name val="Arial"/>
      <i val="1"/>
      <color rgb="FF6B7385"/>
      <sz val="9"/>
    </font>
    <font>
      <name val="Arial"/>
      <b val="1"/>
      <color rgb="FF3B8544"/>
      <sz val="10"/>
    </font>
    <font>
      <name val="Arial"/>
      <b val="1"/>
      <color rgb="FF1B3C8E"/>
      <sz val="10"/>
    </font>
    <font>
      <name val="Arial"/>
      <b val="1"/>
      <color rgb="FFC0504D"/>
      <sz val="10"/>
    </font>
    <font>
      <name val="Arial"/>
      <b val="1"/>
      <color rgb="FF1C2130"/>
      <sz val="10"/>
    </font>
    <font>
      <name val="Arial"/>
      <b val="1"/>
      <color rgb="FF006100"/>
      <sz val="10"/>
    </font>
    <font>
      <name val="Arial"/>
      <b val="1"/>
      <color rgb="FF1B3C8E"/>
      <sz val="12"/>
    </font>
    <font>
      <name val="Arial"/>
      <color rgb="FF6B7385"/>
      <sz val="10"/>
    </font>
  </fonts>
  <fills count="6">
    <fill>
      <patternFill/>
    </fill>
    <fill>
      <patternFill patternType="gray125"/>
    </fill>
    <fill>
      <patternFill patternType="solid">
        <fgColor rgb="FF1B3C8E"/>
        <bgColor rgb="FF1B3C8E"/>
      </patternFill>
    </fill>
    <fill>
      <patternFill patternType="solid">
        <fgColor rgb="FFFFF2CC"/>
        <bgColor rgb="FFFFF2CC"/>
      </patternFill>
    </fill>
    <fill>
      <patternFill patternType="solid">
        <fgColor rgb="FFEEF1F8"/>
        <bgColor rgb="FFEEF1F8"/>
      </patternFill>
    </fill>
    <fill>
      <patternFill patternType="solid">
        <fgColor rgb="FFE2E7F3"/>
        <bgColor rgb="FFE2E7F3"/>
      </patternFill>
    </fill>
  </fills>
  <borders count="2">
    <border>
      <left/>
      <right/>
      <top/>
      <bottom/>
      <diagonal/>
    </border>
    <border>
      <left style="thin">
        <color rgb="FFD5DAE3"/>
      </left>
      <right style="thin">
        <color rgb="FFD5DAE3"/>
      </right>
      <top style="thin">
        <color rgb="FFD5DAE3"/>
      </top>
      <bottom style="thin">
        <color rgb="FFD5DAE3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9" fontId="9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9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3" fontId="4" fillId="0" borderId="1" applyAlignment="1" pivotButton="0" quotePrefix="0" xfId="0">
      <alignment horizontal="center" vertical="top" wrapText="1"/>
    </xf>
    <xf numFmtId="14" fontId="4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6"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595959"/>
        <sz val="10"/>
      </font>
      <fill>
        <patternFill patternType="solid">
          <fgColor rgb="FFEDEDED"/>
          <bgColor rgb="FFEDEDED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8CBAD"/>
          <bgColor rgb="FFF8CBAD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595959"/>
        <sz val="10"/>
      </font>
      <fill>
        <patternFill patternType="solid">
          <fgColor rgb="FFEDEDED"/>
          <bgColor rgb="FFEDEDED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595959"/>
        <sz val="10"/>
      </font>
      <fill>
        <patternFill patternType="solid">
          <fgColor rgb="FFEDEDED"/>
          <bgColor rgb="FFEDEDED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3C8E"/>
    <outlinePr summaryBelow="1" summaryRight="1"/>
    <pageSetUpPr fitToPage="1"/>
  </sheetPr>
  <dimension ref="A1:I46"/>
  <sheetViews>
    <sheetView showGridLines="0" tabSelected="1" workbookViewId="0">
      <selection activeCell="A1" sqref="A1"/>
    </sheetView>
  </sheetViews>
  <sheetFormatPr baseColWidth="10" defaultColWidth="8.88671875" defaultRowHeight="14.4"/>
  <cols>
    <col width="34" customWidth="1" style="32" min="1" max="1"/>
    <col width="12" customWidth="1" style="32" min="2" max="4"/>
    <col width="10" customWidth="1" style="32" min="5" max="5"/>
    <col width="12" customWidth="1" style="32" min="6" max="6"/>
    <col width="14" customWidth="1" style="32" min="7" max="8"/>
    <col width="16" customWidth="1" style="32" min="9" max="9"/>
  </cols>
  <sheetData>
    <row r="1" ht="25.95" customHeight="1" s="32">
      <c r="A1" s="1" t="inlineStr">
        <is>
          <t>OptiTAB — Suivi des livres</t>
        </is>
      </c>
    </row>
    <row r="2">
      <c r="A2" s="2" t="inlineStr">
        <is>
          <t>Mis à jour le 24 octobre 2026. Tous les chiffres se recalculent à partir des onglets.</t>
        </is>
      </c>
    </row>
    <row r="3"/>
    <row r="4" ht="31.95" customHeight="1" s="32">
      <c r="A4" s="3" t="inlineStr">
        <is>
          <t>Matière</t>
        </is>
      </c>
      <c r="B4" s="3" t="inlineStr">
        <is>
          <t>Terminés</t>
        </is>
      </c>
      <c r="C4" s="3" t="inlineStr">
        <is>
          <t>En cours</t>
        </is>
      </c>
      <c r="D4" s="3" t="inlineStr">
        <is>
          <t>À faire</t>
        </is>
      </c>
      <c r="E4" s="3" t="inlineStr">
        <is>
          <t>Total</t>
        </is>
      </c>
      <c r="F4" s="3" t="inlineStr">
        <is>
          <t>% terminé</t>
        </is>
      </c>
      <c r="G4" s="3" t="inlineStr">
        <is>
          <t>Revérifiés par vous</t>
        </is>
      </c>
      <c r="H4" s="3" t="inlineStr">
        <is>
          <t>Pages livrées</t>
        </is>
      </c>
      <c r="I4" s="3" t="inlineStr">
        <is>
          <t>Exercices / activités livrés</t>
        </is>
      </c>
    </row>
    <row r="5">
      <c r="A5" s="4" t="inlineStr">
        <is>
          <t>Mathématiques</t>
        </is>
      </c>
      <c r="B5" s="5">
        <f>COUNTIF(Mathématiques!$F$5:$F$200,"Terminé")</f>
        <v/>
      </c>
      <c r="C5" s="6">
        <f>COUNTIF(Mathématiques!$F$5:$F$200,"En cours")</f>
        <v/>
      </c>
      <c r="D5" s="6">
        <f>COUNTIF(Mathématiques!$F$5:$F$200,"À faire")</f>
        <v/>
      </c>
      <c r="E5" s="6">
        <f>COUNTA(Mathématiques!$C$5:$C$200)</f>
        <v/>
      </c>
      <c r="F5" s="7">
        <f>IF(E5=0,0,B5/E5)</f>
        <v/>
      </c>
      <c r="G5" s="6">
        <f>COUNTIF(Mathématiques!$G$5:$G$200,"Oui")</f>
        <v/>
      </c>
      <c r="H5" s="8">
        <f>SUMIF(Mathématiques!$F$5:$F$200,"Terminé",Mathématiques!$H$5:$H$200)</f>
        <v/>
      </c>
      <c r="I5" s="8">
        <f>SUMIF(Mathématiques!$F$5:$F$200,"Terminé",Mathématiques!$J$5:$J$200)</f>
        <v/>
      </c>
    </row>
    <row r="6">
      <c r="A6" s="4" t="inlineStr">
        <is>
          <t>Physique-chimie</t>
        </is>
      </c>
      <c r="B6" s="5">
        <f>COUNTIF('Physique-chimie'!$F$5:$F$200,"Terminé")</f>
        <v/>
      </c>
      <c r="C6" s="6">
        <f>COUNTIF('Physique-chimie'!$F$5:$F$200,"En cours")</f>
        <v/>
      </c>
      <c r="D6" s="6">
        <f>COUNTIF('Physique-chimie'!$F$5:$F$200,"À faire")</f>
        <v/>
      </c>
      <c r="E6" s="6">
        <f>COUNTA('Physique-chimie'!$C$5:$C$200)</f>
        <v/>
      </c>
      <c r="F6" s="7">
        <f>IF(E6=0,0,B6/E6)</f>
        <v/>
      </c>
      <c r="G6" s="6">
        <f>COUNTIF('Physique-chimie'!$G$5:$G$200,"Oui")</f>
        <v/>
      </c>
      <c r="H6" s="8">
        <f>SUMIF('Physique-chimie'!$F$5:$F$200,"Terminé",'Physique-chimie'!$H$5:$H$200)</f>
        <v/>
      </c>
      <c r="I6" s="8">
        <f>SUMIF('Physique-chimie'!$F$5:$F$200,"Terminé",'Physique-chimie'!$J$5:$J$200)</f>
        <v/>
      </c>
    </row>
    <row r="7">
      <c r="A7" s="9" t="inlineStr">
        <is>
          <t>Total</t>
        </is>
      </c>
      <c r="B7" s="10">
        <f>SUM(B5:B6)</f>
        <v/>
      </c>
      <c r="C7" s="10">
        <f>SUM(C5:C6)</f>
        <v/>
      </c>
      <c r="D7" s="10">
        <f>SUM(D5:D6)</f>
        <v/>
      </c>
      <c r="E7" s="10">
        <f>SUM(E5:E6)</f>
        <v/>
      </c>
      <c r="F7" s="11">
        <f>IF(E7=0,0,B7/E7)</f>
        <v/>
      </c>
      <c r="G7" s="10">
        <f>SUM(G5:G6)</f>
        <v/>
      </c>
      <c r="H7" s="12">
        <f>SUM(H5:H6)</f>
        <v/>
      </c>
      <c r="I7" s="12">
        <f>SUM(I5:I6)</f>
        <v/>
      </c>
    </row>
    <row r="8"/>
    <row r="9"/>
    <row r="10" ht="15.6" customHeight="1" s="32">
      <c r="A10" s="13" t="inlineStr">
        <is>
          <t>Mathématiques par catégorie</t>
        </is>
      </c>
    </row>
    <row r="11" ht="31.95" customHeight="1" s="32">
      <c r="A11" s="3" t="inlineStr">
        <is>
          <t>Catégorie</t>
        </is>
      </c>
      <c r="B11" s="3" t="inlineStr">
        <is>
          <t>Terminés</t>
        </is>
      </c>
      <c r="C11" s="3" t="inlineStr">
        <is>
          <t>En cours</t>
        </is>
      </c>
      <c r="D11" s="3" t="inlineStr">
        <is>
          <t>À faire</t>
        </is>
      </c>
      <c r="E11" s="3" t="inlineStr">
        <is>
          <t>Total</t>
        </is>
      </c>
    </row>
    <row r="12">
      <c r="A12" s="14" t="inlineStr">
        <is>
          <t>Maternelle</t>
        </is>
      </c>
      <c r="B12" s="15">
        <f>COUNTIFS(Mathématiques!$B$5:$B$200,$A12,Mathématiques!$F$5:$F$200,"Terminé")</f>
        <v/>
      </c>
      <c r="C12" s="15">
        <f>COUNTIFS(Mathématiques!$B$5:$B$200,$A12,Mathématiques!$F$5:$F$200,"En cours")</f>
        <v/>
      </c>
      <c r="D12" s="15">
        <f>COUNTIFS(Mathématiques!$B$5:$B$200,$A12,Mathématiques!$F$5:$F$200,"À faire")</f>
        <v/>
      </c>
      <c r="E12" s="15">
        <f>COUNTIF(Mathématiques!$B$5:$B$200,$A12)</f>
        <v/>
      </c>
    </row>
    <row r="13">
      <c r="A13" s="14" t="inlineStr">
        <is>
          <t>École élémentaire</t>
        </is>
      </c>
      <c r="B13" s="15">
        <f>COUNTIFS(Mathématiques!$B$5:$B$200,$A13,Mathématiques!$F$5:$F$200,"Terminé")</f>
        <v/>
      </c>
      <c r="C13" s="15">
        <f>COUNTIFS(Mathématiques!$B$5:$B$200,$A13,Mathématiques!$F$5:$F$200,"En cours")</f>
        <v/>
      </c>
      <c r="D13" s="15">
        <f>COUNTIFS(Mathématiques!$B$5:$B$200,$A13,Mathématiques!$F$5:$F$200,"À faire")</f>
        <v/>
      </c>
      <c r="E13" s="15">
        <f>COUNTIF(Mathématiques!$B$5:$B$200,$A13)</f>
        <v/>
      </c>
    </row>
    <row r="14">
      <c r="A14" s="14" t="inlineStr">
        <is>
          <t>Collège</t>
        </is>
      </c>
      <c r="B14" s="15">
        <f>COUNTIFS(Mathématiques!$B$5:$B$200,$A14,Mathématiques!$F$5:$F$200,"Terminé")</f>
        <v/>
      </c>
      <c r="C14" s="15">
        <f>COUNTIFS(Mathématiques!$B$5:$B$200,$A14,Mathématiques!$F$5:$F$200,"En cours")</f>
        <v/>
      </c>
      <c r="D14" s="15">
        <f>COUNTIFS(Mathématiques!$B$5:$B$200,$A14,Mathématiques!$F$5:$F$200,"À faire")</f>
        <v/>
      </c>
      <c r="E14" s="15">
        <f>COUNTIF(Mathématiques!$B$5:$B$200,$A14)</f>
        <v/>
      </c>
    </row>
    <row r="15">
      <c r="A15" s="14" t="inlineStr">
        <is>
          <t>Lycée général</t>
        </is>
      </c>
      <c r="B15" s="15">
        <f>COUNTIFS(Mathématiques!$B$5:$B$200,$A15,Mathématiques!$F$5:$F$200,"Terminé")</f>
        <v/>
      </c>
      <c r="C15" s="15">
        <f>COUNTIFS(Mathématiques!$B$5:$B$200,$A15,Mathématiques!$F$5:$F$200,"En cours")</f>
        <v/>
      </c>
      <c r="D15" s="15">
        <f>COUNTIFS(Mathématiques!$B$5:$B$200,$A15,Mathématiques!$F$5:$F$200,"À faire")</f>
        <v/>
      </c>
      <c r="E15" s="15">
        <f>COUNTIF(Mathématiques!$B$5:$B$200,$A15)</f>
        <v/>
      </c>
    </row>
    <row r="16">
      <c r="A16" s="14" t="inlineStr">
        <is>
          <t>Prépa scientifique 1re année</t>
        </is>
      </c>
      <c r="B16" s="15">
        <f>COUNTIFS(Mathématiques!$B$5:$B$200,$A16,Mathématiques!$F$5:$F$200,"Terminé")</f>
        <v/>
      </c>
      <c r="C16" s="15">
        <f>COUNTIFS(Mathématiques!$B$5:$B$200,$A16,Mathématiques!$F$5:$F$200,"En cours")</f>
        <v/>
      </c>
      <c r="D16" s="15">
        <f>COUNTIFS(Mathématiques!$B$5:$B$200,$A16,Mathématiques!$F$5:$F$200,"À faire")</f>
        <v/>
      </c>
      <c r="E16" s="15">
        <f>COUNTIF(Mathématiques!$B$5:$B$200,$A16)</f>
        <v/>
      </c>
    </row>
    <row r="17">
      <c r="A17" s="14" t="inlineStr">
        <is>
          <t>Prépa scientifique 2e année</t>
        </is>
      </c>
      <c r="B17" s="15">
        <f>COUNTIFS(Mathématiques!$B$5:$B$200,$A17,Mathématiques!$F$5:$F$200,"Terminé")</f>
        <v/>
      </c>
      <c r="C17" s="15">
        <f>COUNTIFS(Mathématiques!$B$5:$B$200,$A17,Mathématiques!$F$5:$F$200,"En cours")</f>
        <v/>
      </c>
      <c r="D17" s="15">
        <f>COUNTIFS(Mathématiques!$B$5:$B$200,$A17,Mathématiques!$F$5:$F$200,"À faire")</f>
        <v/>
      </c>
      <c r="E17" s="15">
        <f>COUNTIF(Mathématiques!$B$5:$B$200,$A17)</f>
        <v/>
      </c>
    </row>
    <row r="18">
      <c r="A18" s="14" t="inlineStr">
        <is>
          <t>Prépa économique (ECG)</t>
        </is>
      </c>
      <c r="B18" s="15">
        <f>COUNTIFS(Mathématiques!$B$5:$B$200,$A18,Mathématiques!$F$5:$F$200,"Terminé")</f>
        <v/>
      </c>
      <c r="C18" s="15">
        <f>COUNTIFS(Mathématiques!$B$5:$B$200,$A18,Mathématiques!$F$5:$F$200,"En cours")</f>
        <v/>
      </c>
      <c r="D18" s="15">
        <f>COUNTIFS(Mathématiques!$B$5:$B$200,$A18,Mathématiques!$F$5:$F$200,"À faire")</f>
        <v/>
      </c>
      <c r="E18" s="15">
        <f>COUNTIF(Mathématiques!$B$5:$B$200,$A18)</f>
        <v/>
      </c>
    </row>
    <row r="19">
      <c r="A19" s="14" t="inlineStr">
        <is>
          <t>Concours de l’enseignement</t>
        </is>
      </c>
      <c r="B19" s="15">
        <f>COUNTIFS(Mathématiques!$B$5:$B$200,$A19,Mathématiques!$F$5:$F$200,"Terminé")</f>
        <v/>
      </c>
      <c r="C19" s="15">
        <f>COUNTIFS(Mathématiques!$B$5:$B$200,$A19,Mathématiques!$F$5:$F$200,"En cours")</f>
        <v/>
      </c>
      <c r="D19" s="15">
        <f>COUNTIFS(Mathématiques!$B$5:$B$200,$A19,Mathématiques!$F$5:$F$200,"À faire")</f>
        <v/>
      </c>
      <c r="E19" s="15">
        <f>COUNTIF(Mathématiques!$B$5:$B$200,$A19)</f>
        <v/>
      </c>
    </row>
    <row r="20">
      <c r="A20" s="14" t="inlineStr">
        <is>
          <t>Concours post-bac</t>
        </is>
      </c>
      <c r="B20" s="15">
        <f>COUNTIFS(Mathématiques!$B$5:$B$200,$A20,Mathématiques!$F$5:$F$200,"Terminé")</f>
        <v/>
      </c>
      <c r="C20" s="15">
        <f>COUNTIFS(Mathématiques!$B$5:$B$200,$A20,Mathématiques!$F$5:$F$200,"En cours")</f>
        <v/>
      </c>
      <c r="D20" s="15">
        <f>COUNTIFS(Mathématiques!$B$5:$B$200,$A20,Mathématiques!$F$5:$F$200,"À faire")</f>
        <v/>
      </c>
      <c r="E20" s="15">
        <f>COUNTIF(Mathématiques!$B$5:$B$200,$A20)</f>
        <v/>
      </c>
    </row>
    <row r="21">
      <c r="A21" s="14" t="inlineStr">
        <is>
          <t>Concours CPGE ingénieurs et ENS</t>
        </is>
      </c>
      <c r="B21" s="15">
        <f>COUNTIFS(Mathématiques!$B$5:$B$200,$A21,Mathématiques!$F$5:$F$200,"Terminé")</f>
        <v/>
      </c>
      <c r="C21" s="15">
        <f>COUNTIFS(Mathématiques!$B$5:$B$200,$A21,Mathématiques!$F$5:$F$200,"En cours")</f>
        <v/>
      </c>
      <c r="D21" s="15">
        <f>COUNTIFS(Mathématiques!$B$5:$B$200,$A21,Mathématiques!$F$5:$F$200,"À faire")</f>
        <v/>
      </c>
      <c r="E21" s="15">
        <f>COUNTIF(Mathématiques!$B$5:$B$200,$A21)</f>
        <v/>
      </c>
    </row>
    <row r="22">
      <c r="A22" s="14" t="inlineStr">
        <is>
          <t>Concours CPGE commerce</t>
        </is>
      </c>
      <c r="B22" s="15">
        <f>COUNTIFS(Mathématiques!$B$5:$B$200,$A22,Mathématiques!$F$5:$F$200,"Terminé")</f>
        <v/>
      </c>
      <c r="C22" s="15">
        <f>COUNTIFS(Mathématiques!$B$5:$B$200,$A22,Mathématiques!$F$5:$F$200,"En cours")</f>
        <v/>
      </c>
      <c r="D22" s="15">
        <f>COUNTIFS(Mathématiques!$B$5:$B$200,$A22,Mathématiques!$F$5:$F$200,"À faire")</f>
        <v/>
      </c>
      <c r="E22" s="15">
        <f>COUNTIF(Mathématiques!$B$5:$B$200,$A22)</f>
        <v/>
      </c>
    </row>
    <row r="23">
      <c r="A23" s="14" t="inlineStr">
        <is>
          <t>Concours lycéens</t>
        </is>
      </c>
      <c r="B23" s="15">
        <f>COUNTIFS(Mathématiques!$B$5:$B$200,$A23,Mathématiques!$F$5:$F$200,"Terminé")</f>
        <v/>
      </c>
      <c r="C23" s="15">
        <f>COUNTIFS(Mathématiques!$B$5:$B$200,$A23,Mathématiques!$F$5:$F$200,"En cours")</f>
        <v/>
      </c>
      <c r="D23" s="15">
        <f>COUNTIFS(Mathématiques!$B$5:$B$200,$A23,Mathématiques!$F$5:$F$200,"À faire")</f>
        <v/>
      </c>
      <c r="E23" s="15">
        <f>COUNTIF(Mathématiques!$B$5:$B$200,$A23)</f>
        <v/>
      </c>
    </row>
    <row r="24"/>
    <row r="25"/>
    <row r="26" ht="15.6" customHeight="1" s="32">
      <c r="A26" s="13" t="inlineStr">
        <is>
          <t>Physique-chimie par catégorie</t>
        </is>
      </c>
    </row>
    <row r="27" ht="31.95" customHeight="1" s="32">
      <c r="A27" s="3" t="inlineStr">
        <is>
          <t>Catégorie</t>
        </is>
      </c>
      <c r="B27" s="3" t="inlineStr">
        <is>
          <t>Terminés</t>
        </is>
      </c>
      <c r="C27" s="3" t="inlineStr">
        <is>
          <t>En cours</t>
        </is>
      </c>
      <c r="D27" s="3" t="inlineStr">
        <is>
          <t>À faire</t>
        </is>
      </c>
      <c r="E27" s="3" t="inlineStr">
        <is>
          <t>Total</t>
        </is>
      </c>
    </row>
    <row r="28">
      <c r="A28" s="14" t="inlineStr">
        <is>
          <t>Collège</t>
        </is>
      </c>
      <c r="B28" s="15">
        <f>COUNTIFS('Physique-chimie'!$B$5:$B$200,$A28,'Physique-chimie'!$F$5:$F$200,"Terminé")</f>
        <v/>
      </c>
      <c r="C28" s="15">
        <f>COUNTIFS('Physique-chimie'!$B$5:$B$200,$A28,'Physique-chimie'!$F$5:$F$200,"En cours")</f>
        <v/>
      </c>
      <c r="D28" s="15">
        <f>COUNTIFS('Physique-chimie'!$B$5:$B$200,$A28,'Physique-chimie'!$F$5:$F$200,"À faire")</f>
        <v/>
      </c>
      <c r="E28" s="15">
        <f>COUNTIF('Physique-chimie'!$B$5:$B$200,$A28)</f>
        <v/>
      </c>
    </row>
    <row r="29">
      <c r="A29" s="14" t="inlineStr">
        <is>
          <t>Lycée général</t>
        </is>
      </c>
      <c r="B29" s="15">
        <f>COUNTIFS('Physique-chimie'!$B$5:$B$200,$A29,'Physique-chimie'!$F$5:$F$200,"Terminé")</f>
        <v/>
      </c>
      <c r="C29" s="15">
        <f>COUNTIFS('Physique-chimie'!$B$5:$B$200,$A29,'Physique-chimie'!$F$5:$F$200,"En cours")</f>
        <v/>
      </c>
      <c r="D29" s="15">
        <f>COUNTIFS('Physique-chimie'!$B$5:$B$200,$A29,'Physique-chimie'!$F$5:$F$200,"À faire")</f>
        <v/>
      </c>
      <c r="E29" s="15">
        <f>COUNTIF('Physique-chimie'!$B$5:$B$200,$A29)</f>
        <v/>
      </c>
    </row>
    <row r="30">
      <c r="A30" s="14" t="inlineStr">
        <is>
          <t>Prépa scientifique</t>
        </is>
      </c>
      <c r="B30" s="15">
        <f>COUNTIFS('Physique-chimie'!$B$5:$B$200,$A30,'Physique-chimie'!$F$5:$F$200,"Terminé")</f>
        <v/>
      </c>
      <c r="C30" s="15">
        <f>COUNTIFS('Physique-chimie'!$B$5:$B$200,$A30,'Physique-chimie'!$F$5:$F$200,"En cours")</f>
        <v/>
      </c>
      <c r="D30" s="15">
        <f>COUNTIFS('Physique-chimie'!$B$5:$B$200,$A30,'Physique-chimie'!$F$5:$F$200,"À faire")</f>
        <v/>
      </c>
      <c r="E30" s="15">
        <f>COUNTIF('Physique-chimie'!$B$5:$B$200,$A30)</f>
        <v/>
      </c>
    </row>
    <row r="31">
      <c r="A31" s="14" t="inlineStr">
        <is>
          <t>Concours de l’enseignement</t>
        </is>
      </c>
      <c r="B31" s="15">
        <f>COUNTIFS('Physique-chimie'!$B$5:$B$200,$A31,'Physique-chimie'!$F$5:$F$200,"Terminé")</f>
        <v/>
      </c>
      <c r="C31" s="15">
        <f>COUNTIFS('Physique-chimie'!$B$5:$B$200,$A31,'Physique-chimie'!$F$5:$F$200,"En cours")</f>
        <v/>
      </c>
      <c r="D31" s="15">
        <f>COUNTIFS('Physique-chimie'!$B$5:$B$200,$A31,'Physique-chimie'!$F$5:$F$200,"À faire")</f>
        <v/>
      </c>
      <c r="E31" s="15">
        <f>COUNTIF('Physique-chimie'!$B$5:$B$200,$A31)</f>
        <v/>
      </c>
    </row>
    <row r="32">
      <c r="A32" s="14" t="inlineStr">
        <is>
          <t>Concours CPGE ingénieurs et ENS</t>
        </is>
      </c>
      <c r="B32" s="15">
        <f>COUNTIFS('Physique-chimie'!$B$5:$B$200,$A32,'Physique-chimie'!$F$5:$F$200,"Terminé")</f>
        <v/>
      </c>
      <c r="C32" s="15">
        <f>COUNTIFS('Physique-chimie'!$B$5:$B$200,$A32,'Physique-chimie'!$F$5:$F$200,"En cours")</f>
        <v/>
      </c>
      <c r="D32" s="15">
        <f>COUNTIFS('Physique-chimie'!$B$5:$B$200,$A32,'Physique-chimie'!$F$5:$F$200,"À faire")</f>
        <v/>
      </c>
      <c r="E32" s="15">
        <f>COUNTIF('Physique-chimie'!$B$5:$B$200,$A32)</f>
        <v/>
      </c>
    </row>
    <row r="33"/>
    <row r="34"/>
    <row r="35" ht="15.6" customHeight="1" s="32">
      <c r="A35" s="13" t="inlineStr">
        <is>
          <t>Mises à jour et décisions</t>
        </is>
      </c>
    </row>
    <row r="36">
      <c r="A36" s="16" t="inlineStr">
        <is>
          <t>Mises à jour faites (programmes, correctif)</t>
        </is>
      </c>
      <c r="B36" s="17">
        <f>COUNTA('Mises à jour'!$B$5:$B$200)</f>
        <v/>
      </c>
    </row>
    <row r="37">
      <c r="A37" s="16" t="inlineStr">
        <is>
          <t>Nouvelles éditions livrées</t>
        </is>
      </c>
      <c r="B37" s="17">
        <f>COUNTIF('Mises à jour'!$C$5:$C$200,"Nouvelle édition")</f>
        <v/>
      </c>
    </row>
    <row r="38">
      <c r="A38" s="16" t="inlineStr">
        <is>
          <t>Décisions en attente</t>
        </is>
      </c>
      <c r="B38" s="17">
        <f>COUNTIF('À décider'!$G$5:$G$200,"À trancher")</f>
        <v/>
      </c>
    </row>
    <row r="39">
      <c r="A39" s="16" t="inlineStr">
        <is>
          <t>dont priorité haute</t>
        </is>
      </c>
      <c r="B39" s="17">
        <f>COUNTIFS('À décider'!$G$5:$G$200,"À trancher",'À décider'!$E$5:$E$200,"Haute")</f>
        <v/>
      </c>
    </row>
    <row r="40"/>
    <row r="41"/>
    <row r="42" ht="15.6" customHeight="1" s="32">
      <c r="A42" s="13" t="inlineStr">
        <is>
          <t>Mode d’emploi</t>
        </is>
      </c>
    </row>
    <row r="43">
      <c r="A43" s="31" t="inlineStr">
        <is>
          <t>Statuts : Terminé (vert) = PDF final livré dans output et sur le Bureau ; En cours (orange) ; À faire (gris).</t>
        </is>
      </c>
    </row>
    <row r="44">
      <c r="A44" s="31" t="inlineStr">
        <is>
          <t>Cellules jaunes = à remplir par vous : « Revérifié par vous » (Oui / Non) dans les onglets de matière, « Votre réponse » et « Statut » dans l’onglet À décider.</t>
        </is>
      </c>
    </row>
    <row r="45">
      <c r="A45" s="31" t="inlineStr">
        <is>
          <t>Ce tableau de bord se met à jour tout seul quand vous changez un statut ou passez un livre à « Oui ».</t>
        </is>
      </c>
    </row>
    <row r="46">
      <c r="A46" s="31" t="inlineStr">
        <is>
          <t>Pour ajouter un livre, écrivez-le à la fin de l’onglet de sa matière avec la même catégorie : il sera compté automatiquement.</t>
        </is>
      </c>
    </row>
  </sheetData>
  <mergeCells count="4">
    <mergeCell ref="A45:I45"/>
    <mergeCell ref="A46:I46"/>
    <mergeCell ref="A43:I43"/>
    <mergeCell ref="A44:I44"/>
  </mergeCells>
  <conditionalFormatting sqref="B12:B23">
    <cfRule type="cellIs" priority="1" operator="greaterThan" dxfId="0">
      <formula>0</formula>
    </cfRule>
  </conditionalFormatting>
  <conditionalFormatting sqref="B28:B32">
    <cfRule type="cellIs" priority="3" operator="greaterThan" dxfId="0">
      <formula>0</formula>
    </cfRule>
  </conditionalFormatting>
  <conditionalFormatting sqref="C12:C23">
    <cfRule type="cellIs" priority="2" operator="greaterThan" dxfId="2">
      <formula>0</formula>
    </cfRule>
  </conditionalFormatting>
  <conditionalFormatting sqref="C28:C32">
    <cfRule type="cellIs" priority="4" operator="greaterThan" dxfId="2">
      <formula>0</formula>
    </cfRule>
  </conditionalFormatting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tabColor rgb="FF4A90D9"/>
    <outlinePr summaryBelow="1" summaryRight="1"/>
    <pageSetUpPr fitToPage="1"/>
  </sheetPr>
  <dimension ref="A1:N5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5" customWidth="1" style="32" min="1" max="1"/>
    <col width="24" customWidth="1" style="32" min="2" max="2"/>
    <col width="30" customWidth="1" style="32" min="3" max="3"/>
    <col width="11" customWidth="1" style="32" min="4" max="4"/>
    <col width="38" customWidth="1" style="32" min="5" max="5"/>
    <col width="12" customWidth="1" style="32" min="6" max="7"/>
    <col width="8" customWidth="1" style="32" min="8" max="8"/>
    <col width="11" customWidth="1" style="32" min="9" max="9"/>
    <col width="12" customWidth="1" style="32" min="10" max="11"/>
    <col width="22" customWidth="1" style="32" min="12" max="12"/>
    <col width="44" customWidth="1" style="32" min="13" max="13"/>
    <col width="52" customWidth="1" style="32" min="14" max="14"/>
  </cols>
  <sheetData>
    <row r="1" ht="25.95" customHeight="1" s="32">
      <c r="A1" s="1" t="inlineStr">
        <is>
          <t>Mathématiques — tous les livres</t>
        </is>
      </c>
    </row>
    <row r="2">
      <c r="A2" s="2" t="inlineStr">
        <is>
          <t>Statut au 23/10/2026. Colonne jaune « Revérifié par vous » : à remplir après votre relecture (Oui / Non).</t>
        </is>
      </c>
    </row>
    <row r="3"/>
    <row r="4" ht="31.95" customHeight="1" s="32">
      <c r="A4" s="3" t="inlineStr">
        <is>
          <t>N°</t>
        </is>
      </c>
      <c r="B4" s="3" t="inlineStr">
        <is>
          <t>Catégorie</t>
        </is>
      </c>
      <c r="C4" s="3" t="inlineStr">
        <is>
          <t>Livre</t>
        </is>
      </c>
      <c r="D4" s="3" t="inlineStr">
        <is>
          <t>Édition</t>
        </is>
      </c>
      <c r="E4" s="3" t="inlineStr">
        <is>
          <t>Programme de référence</t>
        </is>
      </c>
      <c r="F4" s="3" t="inlineStr">
        <is>
          <t>Statut</t>
        </is>
      </c>
      <c r="G4" s="3" t="inlineStr">
        <is>
          <t>Revérifié par vous</t>
        </is>
      </c>
      <c r="H4" s="3" t="inlineStr">
        <is>
          <t>Pages</t>
        </is>
      </c>
      <c r="I4" s="3" t="inlineStr">
        <is>
          <t>Chapitres / parties</t>
        </is>
      </c>
      <c r="J4" s="3" t="inlineStr">
        <is>
          <t>Exercices / activités</t>
        </is>
      </c>
      <c r="K4" s="3" t="inlineStr">
        <is>
          <t>Livré le</t>
        </is>
      </c>
      <c r="L4" s="3" t="inlineStr">
        <is>
          <t>Dossier source</t>
        </is>
      </c>
      <c r="M4" s="3" t="inlineStr">
        <is>
          <t>Fichier PDF</t>
        </is>
      </c>
      <c r="N4" s="3" t="inlineStr">
        <is>
          <t>Remarques</t>
        </is>
      </c>
    </row>
    <row r="5" ht="39.6" customHeight="1" s="32">
      <c r="A5" s="18" t="n">
        <v>1</v>
      </c>
      <c r="B5" s="19" t="inlineStr">
        <is>
          <t>Maternelle</t>
        </is>
      </c>
      <c r="C5" s="19" t="inlineStr">
        <is>
          <t>Petite Section (PS)</t>
        </is>
      </c>
      <c r="D5" s="20" t="inlineStr">
        <is>
          <t>2026-2027</t>
        </is>
      </c>
      <c r="E5" s="21" t="inlineStr">
        <is>
          <t>Programme maternelle, BO n°41 du 31/10/2024 (consolidé BO n°19 du 07/05/2026)</t>
        </is>
      </c>
      <c r="F5" s="20" t="inlineStr">
        <is>
          <t>Terminé</t>
        </is>
      </c>
      <c r="G5" s="22" t="inlineStr">
        <is>
          <t>Non</t>
        </is>
      </c>
      <c r="H5" s="23" t="n">
        <v>67</v>
      </c>
      <c r="I5" s="23" t="n">
        <v>7</v>
      </c>
      <c r="J5" s="23" t="n">
        <v>40</v>
      </c>
      <c r="K5" s="24" t="n">
        <v>46318</v>
      </c>
      <c r="L5" s="21" t="inlineStr">
        <is>
          <t>livre-maternelle/ (ps.py)</t>
        </is>
      </c>
      <c r="M5" s="21" t="inlineStr">
        <is>
          <t>OptiTAB - Mathématiques - Petite section (PS) - Cahier d’activités.pdf</t>
        </is>
      </c>
      <c r="N5" s="21" t="inlineStr">
        <is>
          <t>Cahier d’activités illustré (40 activités, 7 parties) + guide de l’adulte avec réponses</t>
        </is>
      </c>
    </row>
    <row r="6" ht="39.6" customHeight="1" s="32">
      <c r="A6" s="18" t="n">
        <v>2</v>
      </c>
      <c r="B6" s="19" t="inlineStr">
        <is>
          <t>Maternelle</t>
        </is>
      </c>
      <c r="C6" s="19" t="inlineStr">
        <is>
          <t>Moyenne Section (MS)</t>
        </is>
      </c>
      <c r="D6" s="20" t="inlineStr">
        <is>
          <t>2026-2027</t>
        </is>
      </c>
      <c r="E6" s="21" t="inlineStr">
        <is>
          <t>Programme maternelle, BO n°41 du 31/10/2024 (consolidé BO n°19 du 07/05/2026)</t>
        </is>
      </c>
      <c r="F6" s="20" t="inlineStr">
        <is>
          <t>Terminé</t>
        </is>
      </c>
      <c r="G6" s="22" t="inlineStr">
        <is>
          <t>Non</t>
        </is>
      </c>
      <c r="H6" s="23" t="n">
        <v>85</v>
      </c>
      <c r="I6" s="23" t="n">
        <v>9</v>
      </c>
      <c r="J6" s="23" t="n">
        <v>53</v>
      </c>
      <c r="K6" s="24" t="n">
        <v>46318</v>
      </c>
      <c r="L6" s="21" t="inlineStr">
        <is>
          <t>livre-maternelle/ (ms.py)</t>
        </is>
      </c>
      <c r="M6" s="21" t="inlineStr">
        <is>
          <t>OptiTAB - Mathématiques - Moyenne section (MS) - Cahier d’activités.pdf</t>
        </is>
      </c>
      <c r="N6" s="21" t="inlineStr">
        <is>
          <t>Cahier d’activités illustré (53 activités, 9 parties) + guide de l’adulte avec réponses</t>
        </is>
      </c>
    </row>
    <row r="7" ht="39.6" customHeight="1" s="32">
      <c r="A7" s="18" t="n">
        <v>3</v>
      </c>
      <c r="B7" s="19" t="inlineStr">
        <is>
          <t>Maternelle</t>
        </is>
      </c>
      <c r="C7" s="19" t="inlineStr">
        <is>
          <t>Grande Section (GS)</t>
        </is>
      </c>
      <c r="D7" s="20" t="inlineStr">
        <is>
          <t>2026-2027</t>
        </is>
      </c>
      <c r="E7" s="21" t="inlineStr">
        <is>
          <t>Programme maternelle, BO n°41 du 31/10/2024 (consolidé BO n°19 du 07/05/2026)</t>
        </is>
      </c>
      <c r="F7" s="20" t="inlineStr">
        <is>
          <t>Terminé</t>
        </is>
      </c>
      <c r="G7" s="22" t="inlineStr">
        <is>
          <t>Non</t>
        </is>
      </c>
      <c r="H7" s="23" t="n">
        <v>88</v>
      </c>
      <c r="I7" s="23" t="n">
        <v>9</v>
      </c>
      <c r="J7" s="23" t="n">
        <v>56</v>
      </c>
      <c r="K7" s="24" t="n">
        <v>46318</v>
      </c>
      <c r="L7" s="21" t="inlineStr">
        <is>
          <t>livre-maternelle/ (gs.py)</t>
        </is>
      </c>
      <c r="M7" s="21" t="inlineStr">
        <is>
          <t>OptiTAB - Mathématiques - Grande section (GS) - Cahier d’activités.pdf</t>
        </is>
      </c>
      <c r="N7" s="21" t="inlineStr">
        <is>
          <t>Cahier d’activités illustré (56 activités, 9 parties) + guide de l’adulte avec réponses</t>
        </is>
      </c>
    </row>
    <row r="8">
      <c r="A8" s="20" t="n">
        <v>4</v>
      </c>
      <c r="B8" s="21" t="inlineStr">
        <is>
          <t>École élémentaire</t>
        </is>
      </c>
      <c r="C8" s="21" t="inlineStr">
        <is>
          <t>CP</t>
        </is>
      </c>
      <c r="D8" s="20" t="inlineStr">
        <is>
          <t>2026-2027</t>
        </is>
      </c>
      <c r="E8" s="21" t="inlineStr">
        <is>
          <t>Programme du cycle 2, BO du 31/10/2024</t>
        </is>
      </c>
      <c r="F8" s="20" t="inlineStr">
        <is>
          <t>Terminé</t>
        </is>
      </c>
      <c r="G8" s="22" t="inlineStr">
        <is>
          <t>Non</t>
        </is>
      </c>
      <c r="H8" s="23" t="n">
        <v>262</v>
      </c>
      <c r="I8" s="23" t="n">
        <v>30</v>
      </c>
      <c r="J8" s="23" t="n">
        <v>270</v>
      </c>
      <c r="K8" s="24" t="n">
        <v>46318</v>
      </c>
      <c r="L8" s="21" t="inlineStr">
        <is>
          <t>livre-cp/</t>
        </is>
      </c>
      <c r="M8" s="21" t="inlineStr">
        <is>
          <t>OptiTAB - Mathématiques - CP - Manuel complet.pdf</t>
        </is>
      </c>
      <c r="N8" s="21" t="inlineStr">
        <is>
          <t>5 bilans, 360 problèmes oraux, matériel à photocopier</t>
        </is>
      </c>
    </row>
    <row r="9" ht="26.4" customHeight="1" s="32">
      <c r="A9" s="20" t="n">
        <v>5</v>
      </c>
      <c r="B9" s="21" t="inlineStr">
        <is>
          <t>École élémentaire</t>
        </is>
      </c>
      <c r="C9" s="21" t="inlineStr">
        <is>
          <t>CE1</t>
        </is>
      </c>
      <c r="D9" s="20" t="inlineStr">
        <is>
          <t>2026-2027</t>
        </is>
      </c>
      <c r="E9" s="21" t="inlineStr">
        <is>
          <t>Programme du cycle 2, BO du 31/10/2024</t>
        </is>
      </c>
      <c r="F9" s="20" t="inlineStr">
        <is>
          <t>Terminé</t>
        </is>
      </c>
      <c r="G9" s="22" t="inlineStr">
        <is>
          <t>Non</t>
        </is>
      </c>
      <c r="H9" s="23" t="n">
        <v>277</v>
      </c>
      <c r="I9" s="23" t="n">
        <v>32</v>
      </c>
      <c r="J9" s="23" t="n">
        <v>288</v>
      </c>
      <c r="K9" s="24" t="n">
        <v>46318</v>
      </c>
      <c r="L9" s="21" t="inlineStr">
        <is>
          <t>livre-ce1/</t>
        </is>
      </c>
      <c r="M9" s="21" t="inlineStr">
        <is>
          <t>OptiTAB - Mathématiques - CE1 - Manuel complet.pdf</t>
        </is>
      </c>
      <c r="N9" s="21" t="inlineStr">
        <is>
          <t>5 bilans, 360 problèmes oraux, fiches de fluence</t>
        </is>
      </c>
    </row>
    <row r="10" ht="26.4" customHeight="1" s="32">
      <c r="A10" s="20" t="n">
        <v>6</v>
      </c>
      <c r="B10" s="21" t="inlineStr">
        <is>
          <t>École élémentaire</t>
        </is>
      </c>
      <c r="C10" s="21" t="inlineStr">
        <is>
          <t>CE2</t>
        </is>
      </c>
      <c r="D10" s="20" t="inlineStr">
        <is>
          <t>2026-2027</t>
        </is>
      </c>
      <c r="E10" s="21" t="inlineStr">
        <is>
          <t>Programme du cycle 2, BO du 31/10/2024</t>
        </is>
      </c>
      <c r="F10" s="20" t="inlineStr">
        <is>
          <t>Terminé</t>
        </is>
      </c>
      <c r="G10" s="22" t="inlineStr">
        <is>
          <t>Non</t>
        </is>
      </c>
      <c r="H10" s="23" t="n">
        <v>311</v>
      </c>
      <c r="I10" s="23" t="n">
        <v>36</v>
      </c>
      <c r="J10" s="23" t="n">
        <v>324</v>
      </c>
      <c r="K10" s="24" t="n">
        <v>46318</v>
      </c>
      <c r="L10" s="21" t="inlineStr">
        <is>
          <t>livre-ce2/</t>
        </is>
      </c>
      <c r="M10" s="21" t="inlineStr">
        <is>
          <t>OptiTAB - Mathématiques - CE2 - Manuel complet.pdf</t>
        </is>
      </c>
      <c r="N10" s="21" t="inlineStr">
        <is>
          <t>5 bilans, 360 problèmes oraux, 6 pages de méthode</t>
        </is>
      </c>
    </row>
    <row r="11" ht="26.4" customHeight="1" s="32">
      <c r="A11" s="20" t="n">
        <v>7</v>
      </c>
      <c r="B11" s="21" t="inlineStr">
        <is>
          <t>École élémentaire</t>
        </is>
      </c>
      <c r="C11" s="21" t="inlineStr">
        <is>
          <t>CM1</t>
        </is>
      </c>
      <c r="D11" s="20" t="inlineStr">
        <is>
          <t>2026-2027</t>
        </is>
      </c>
      <c r="E11" s="21" t="inlineStr">
        <is>
          <t>Programmes 2025, BO n°16 du 17/04/2025</t>
        </is>
      </c>
      <c r="F11" s="20" t="inlineStr">
        <is>
          <t>Terminé</t>
        </is>
      </c>
      <c r="G11" s="22" t="inlineStr">
        <is>
          <t>Non</t>
        </is>
      </c>
      <c r="H11" s="23" t="n">
        <v>328</v>
      </c>
      <c r="I11" s="23" t="n">
        <v>21</v>
      </c>
      <c r="J11" s="23" t="n">
        <v>315</v>
      </c>
      <c r="K11" s="24" t="n">
        <v>46318</v>
      </c>
      <c r="L11" s="21" t="inlineStr">
        <is>
          <t>livre-cm1/</t>
        </is>
      </c>
      <c r="M11" s="21" t="inlineStr">
        <is>
          <t>OptiTAB - Mathématiques - CM1 - Manuel complet.pdf</t>
        </is>
      </c>
      <c r="N11" s="21" t="inlineStr">
        <is>
          <t>21 défis, 2 bilans</t>
        </is>
      </c>
    </row>
    <row r="12" ht="26.4" customHeight="1" s="32">
      <c r="A12" s="20" t="n">
        <v>8</v>
      </c>
      <c r="B12" s="21" t="inlineStr">
        <is>
          <t>École élémentaire</t>
        </is>
      </c>
      <c r="C12" s="21" t="inlineStr">
        <is>
          <t>CM2</t>
        </is>
      </c>
      <c r="D12" s="20" t="inlineStr">
        <is>
          <t>2026-2027</t>
        </is>
      </c>
      <c r="E12" s="21" t="inlineStr">
        <is>
          <t>Programmes 2025, BO n°16 du 17/04/2025</t>
        </is>
      </c>
      <c r="F12" s="20" t="inlineStr">
        <is>
          <t>Terminé</t>
        </is>
      </c>
      <c r="G12" s="22" t="inlineStr">
        <is>
          <t>Non</t>
        </is>
      </c>
      <c r="H12" s="23" t="n">
        <v>319</v>
      </c>
      <c r="I12" s="23" t="n">
        <v>21</v>
      </c>
      <c r="J12" s="23" t="n">
        <v>315</v>
      </c>
      <c r="K12" s="24" t="n">
        <v>46318</v>
      </c>
      <c r="L12" s="21" t="inlineStr">
        <is>
          <t>livre-cm2/</t>
        </is>
      </c>
      <c r="M12" s="21" t="inlineStr">
        <is>
          <t>OptiTAB - Mathématiques - CM2 - Manuel complet.pdf</t>
        </is>
      </c>
      <c r="N12" s="21" t="inlineStr">
        <is>
          <t>21 défis, 2 bilans</t>
        </is>
      </c>
    </row>
    <row r="13" ht="26.4" customHeight="1" s="32">
      <c r="A13" s="18" t="n">
        <v>9</v>
      </c>
      <c r="B13" s="19" t="inlineStr">
        <is>
          <t>Collège</t>
        </is>
      </c>
      <c r="C13" s="19" t="inlineStr">
        <is>
          <t>Sixième (6e)</t>
        </is>
      </c>
      <c r="D13" s="20" t="inlineStr">
        <is>
          <t>2026-2027</t>
        </is>
      </c>
      <c r="E13" s="21" t="inlineStr">
        <is>
          <t>Programme 2025 du cycle 3</t>
        </is>
      </c>
      <c r="F13" s="20" t="inlineStr">
        <is>
          <t>Terminé</t>
        </is>
      </c>
      <c r="G13" s="22" t="inlineStr">
        <is>
          <t>Non</t>
        </is>
      </c>
      <c r="H13" s="23" t="n">
        <v>342</v>
      </c>
      <c r="I13" s="23" t="n">
        <v>21</v>
      </c>
      <c r="J13" s="23" t="n">
        <v>315</v>
      </c>
      <c r="K13" s="24" t="n">
        <v>46318</v>
      </c>
      <c r="L13" s="21" t="inlineStr">
        <is>
          <t>livre-sixieme/</t>
        </is>
      </c>
      <c r="M13" s="21" t="inlineStr">
        <is>
          <t>OptiTAB - Mathématiques - Sixième (6e) - Manuel complet.pdf</t>
        </is>
      </c>
      <c r="N13" s="21" t="inlineStr">
        <is>
          <t>84 sections de cours, 21 défis, 2 bilans</t>
        </is>
      </c>
    </row>
    <row r="14" ht="26.4" customHeight="1" s="32">
      <c r="A14" s="18" t="n">
        <v>10</v>
      </c>
      <c r="B14" s="19" t="inlineStr">
        <is>
          <t>Collège</t>
        </is>
      </c>
      <c r="C14" s="19" t="inlineStr">
        <is>
          <t>Cinquième (5e)</t>
        </is>
      </c>
      <c r="D14" s="20" t="inlineStr">
        <is>
          <t>2026-2027</t>
        </is>
      </c>
      <c r="E14" s="21" t="inlineStr">
        <is>
          <t>Programme cycle 4 2026, BO n°10 du 05/03/2026</t>
        </is>
      </c>
      <c r="F14" s="20" t="inlineStr">
        <is>
          <t>Terminé</t>
        </is>
      </c>
      <c r="G14" s="22" t="inlineStr">
        <is>
          <t>Non</t>
        </is>
      </c>
      <c r="H14" s="23" t="n">
        <v>328</v>
      </c>
      <c r="I14" s="23" t="n">
        <v>20</v>
      </c>
      <c r="J14" s="23" t="n">
        <v>300</v>
      </c>
      <c r="K14" s="24" t="n">
        <v>46317</v>
      </c>
      <c r="L14" s="21" t="inlineStr">
        <is>
          <t>livre-cinquieme/</t>
        </is>
      </c>
      <c r="M14" s="21" t="inlineStr">
        <is>
          <t>OptiTAB - Mathématiques - Cinquième (5e) - Manuel complet.pdf</t>
        </is>
      </c>
      <c r="N14" s="21" t="inlineStr">
        <is>
          <t>Audité le 23/10/2026 : 117 attendus vérifiés, 14 corrigés, PDF relivré</t>
        </is>
      </c>
    </row>
    <row r="15" ht="26.4" customHeight="1" s="32">
      <c r="A15" s="18" t="n">
        <v>11</v>
      </c>
      <c r="B15" s="19" t="inlineStr">
        <is>
          <t>Collège</t>
        </is>
      </c>
      <c r="C15" s="19" t="inlineStr">
        <is>
          <t>Quatrième (4e)</t>
        </is>
      </c>
      <c r="D15" s="20" t="inlineStr">
        <is>
          <t>2026-2027</t>
        </is>
      </c>
      <c r="E15" s="21" t="inlineStr">
        <is>
          <t>Ancien programme (le programme 2026 s’applique en 4e à la rentrée 2027)</t>
        </is>
      </c>
      <c r="F15" s="20" t="inlineStr">
        <is>
          <t>Terminé</t>
        </is>
      </c>
      <c r="G15" s="22" t="inlineStr">
        <is>
          <t>Non</t>
        </is>
      </c>
      <c r="H15" s="23" t="n">
        <v>315</v>
      </c>
      <c r="I15" s="23" t="n">
        <v>18</v>
      </c>
      <c r="J15" s="23" t="n">
        <v>270</v>
      </c>
      <c r="K15" s="24" t="n">
        <v>46317</v>
      </c>
      <c r="L15" s="21" t="inlineStr">
        <is>
          <t>livre-quatrieme/</t>
        </is>
      </c>
      <c r="M15" s="21" t="inlineStr">
        <is>
          <t>OptiTAB - Mathématiques - Quatrième (4e) - Manuel complet.pdf</t>
        </is>
      </c>
      <c r="N15" s="21" t="inlineStr">
        <is>
          <t>Nouvelle édition programme 2027 livrée le 23/10/2026 (onglet Mises à jour)</t>
        </is>
      </c>
    </row>
    <row r="16" ht="26.4" customHeight="1" s="32">
      <c r="A16" s="18" t="n">
        <v>12</v>
      </c>
      <c r="B16" s="19" t="inlineStr">
        <is>
          <t>Collège</t>
        </is>
      </c>
      <c r="C16" s="19" t="inlineStr">
        <is>
          <t>Troisième (3e) - Brevet 2027</t>
        </is>
      </c>
      <c r="D16" s="20" t="inlineStr">
        <is>
          <t>2026-2027</t>
        </is>
      </c>
      <c r="E16" s="21" t="inlineStr">
        <is>
          <t>Ancien programme (le programme 2026 s’applique en 3e à la rentrée 2028)</t>
        </is>
      </c>
      <c r="F16" s="20" t="inlineStr">
        <is>
          <t>Terminé</t>
        </is>
      </c>
      <c r="G16" s="22" t="inlineStr">
        <is>
          <t>Non</t>
        </is>
      </c>
      <c r="H16" s="23" t="n">
        <v>313</v>
      </c>
      <c r="I16" s="23" t="n">
        <v>18</v>
      </c>
      <c r="J16" s="23" t="n">
        <v>270</v>
      </c>
      <c r="K16" s="24" t="n">
        <v>46317</v>
      </c>
      <c r="L16" s="21" t="inlineStr">
        <is>
          <t>livre-troisieme/</t>
        </is>
      </c>
      <c r="M16" s="21" t="inlineStr">
        <is>
          <t>OptiTAB - Mathématiques - Troisième (3e) - Brevet 2027 - Manuel complet.pdf</t>
        </is>
      </c>
      <c r="N16" s="21" t="inlineStr">
        <is>
          <t>Correctif du 23/10/2026 (signes % au chapitre 6). Nouvelle édition programme 2028 livrée</t>
        </is>
      </c>
    </row>
    <row r="17" ht="26.4" customHeight="1" s="32">
      <c r="A17" s="20" t="n">
        <v>13</v>
      </c>
      <c r="B17" s="21" t="inlineStr">
        <is>
          <t>Lycée général</t>
        </is>
      </c>
      <c r="C17" s="21" t="inlineStr">
        <is>
          <t>Seconde</t>
        </is>
      </c>
      <c r="D17" s="20" t="inlineStr">
        <is>
          <t>2026-2027</t>
        </is>
      </c>
      <c r="E17" s="21" t="inlineStr">
        <is>
          <t>BO n°14 du 02/04/2026 (NOR MENE2602914A)</t>
        </is>
      </c>
      <c r="F17" s="20" t="inlineStr">
        <is>
          <t>Terminé</t>
        </is>
      </c>
      <c r="G17" s="22" t="inlineStr">
        <is>
          <t>Non</t>
        </is>
      </c>
      <c r="H17" s="23" t="n">
        <v>285</v>
      </c>
      <c r="I17" s="23" t="n">
        <v>16</v>
      </c>
      <c r="J17" s="23" t="n">
        <v>240</v>
      </c>
      <c r="K17" s="24" t="n">
        <v>46316</v>
      </c>
      <c r="L17" s="21" t="inlineStr">
        <is>
          <t>livre-seconde/</t>
        </is>
      </c>
      <c r="M17" s="21" t="inlineStr">
        <is>
          <t>OptiTAB - Mathématiques - Seconde générale et technologique - Manuel complet.pdf</t>
        </is>
      </c>
      <c r="N17" s="21" t="inlineStr">
        <is>
          <t>Audité le 23/10/2026 : 178 attendus, 40 questions flash ajoutées, PDF relivré</t>
        </is>
      </c>
    </row>
    <row r="18" ht="39.6" customHeight="1" s="32">
      <c r="A18" s="20" t="n">
        <v>14</v>
      </c>
      <c r="B18" s="21" t="inlineStr">
        <is>
          <t>Lycée général</t>
        </is>
      </c>
      <c r="C18" s="21" t="inlineStr">
        <is>
          <t>Première spécialité</t>
        </is>
      </c>
      <c r="D18" s="20" t="inlineStr">
        <is>
          <t>2026-2027</t>
        </is>
      </c>
      <c r="E18" s="21" t="inlineStr">
        <is>
          <t>BO n°14 du 02/04/2026 (NOR MENE2602917A) + épreuve anticipée (note du 11/09/2026)</t>
        </is>
      </c>
      <c r="F18" s="20" t="inlineStr">
        <is>
          <t>Terminé</t>
        </is>
      </c>
      <c r="G18" s="22" t="inlineStr">
        <is>
          <t>Non</t>
        </is>
      </c>
      <c r="H18" s="23" t="n">
        <v>319</v>
      </c>
      <c r="I18" s="23" t="n">
        <v>14</v>
      </c>
      <c r="J18" s="23" t="n">
        <v>210</v>
      </c>
      <c r="K18" s="24" t="n">
        <v>46316</v>
      </c>
      <c r="L18" s="21" t="inlineStr">
        <is>
          <t>livre-premiere/</t>
        </is>
      </c>
      <c r="M18" s="21" t="inlineStr">
        <is>
          <t>OptiTAB - Mathématiques - Première spécialité - Manuel complet.pdf</t>
        </is>
      </c>
      <c r="N18" s="21" t="inlineStr">
        <is>
          <t>Audité le 23/10/2026 : sujets blancs au format officiel, PDF relivré</t>
        </is>
      </c>
    </row>
    <row r="19" ht="26.4" customHeight="1" s="32">
      <c r="A19" s="20" t="n">
        <v>15</v>
      </c>
      <c r="B19" s="21" t="inlineStr">
        <is>
          <t>Lycée général</t>
        </is>
      </c>
      <c r="C19" s="21" t="inlineStr">
        <is>
          <t>Terminale spécialité</t>
        </is>
      </c>
      <c r="D19" s="20" t="inlineStr">
        <is>
          <t>2026-2027</t>
        </is>
      </c>
      <c r="E19" s="21" t="inlineStr">
        <is>
          <t>Programme 2019 (en vigueur en 2026-2027)</t>
        </is>
      </c>
      <c r="F19" s="20" t="inlineStr">
        <is>
          <t>Terminé</t>
        </is>
      </c>
      <c r="G19" s="22" t="inlineStr">
        <is>
          <t>Non</t>
        </is>
      </c>
      <c r="H19" s="23" t="n">
        <v>374</v>
      </c>
      <c r="I19" s="23" t="n">
        <v>22</v>
      </c>
      <c r="J19" s="23" t="n">
        <v>274</v>
      </c>
      <c r="K19" s="24" t="n">
        <v>46316</v>
      </c>
      <c r="L19" s="21" t="inlineStr">
        <is>
          <t>livre-terminale/</t>
        </is>
      </c>
      <c r="M19" s="21" t="inlineStr">
        <is>
          <t>OptiTAB - Mathématiques - Terminale spécialité - Manuel complet.pdf</t>
        </is>
      </c>
      <c r="N19" s="21" t="inlineStr">
        <is>
          <t>10 sujets type bac corrigés. ISBN à compléter. Nouvelle édition programme 2027 livrée</t>
        </is>
      </c>
    </row>
    <row r="20">
      <c r="A20" s="20" t="n">
        <v>16</v>
      </c>
      <c r="B20" s="21" t="inlineStr">
        <is>
          <t>Lycée général</t>
        </is>
      </c>
      <c r="C20" s="21" t="inlineStr">
        <is>
          <t>Maths expertes (option Terminale)</t>
        </is>
      </c>
      <c r="D20" s="20" t="n"/>
      <c r="E20" s="21" t="n"/>
      <c r="F20" s="20" t="inlineStr">
        <is>
          <t>À faire</t>
        </is>
      </c>
      <c r="G20" s="22" t="inlineStr">
        <is>
          <t>Non</t>
        </is>
      </c>
      <c r="H20" s="23" t="n"/>
      <c r="I20" s="23" t="n"/>
      <c r="J20" s="23" t="n"/>
      <c r="K20" s="20" t="n"/>
      <c r="L20" s="21" t="n"/>
      <c r="M20" s="21" t="n"/>
      <c r="N20" s="21" t="n"/>
    </row>
    <row r="21" ht="26.4" customHeight="1" s="32">
      <c r="A21" s="20" t="n">
        <v>17</v>
      </c>
      <c r="B21" s="21" t="inlineStr">
        <is>
          <t>Lycée général</t>
        </is>
      </c>
      <c r="C21" s="21" t="inlineStr">
        <is>
          <t>Maths complémentaires (option Terminale)</t>
        </is>
      </c>
      <c r="D21" s="20" t="n"/>
      <c r="E21" s="21" t="n"/>
      <c r="F21" s="20" t="inlineStr">
        <is>
          <t>À faire</t>
        </is>
      </c>
      <c r="G21" s="22" t="inlineStr">
        <is>
          <t>Non</t>
        </is>
      </c>
      <c r="H21" s="23" t="n"/>
      <c r="I21" s="23" t="n"/>
      <c r="J21" s="23" t="n"/>
      <c r="K21" s="20" t="n"/>
      <c r="L21" s="21" t="n"/>
      <c r="M21" s="21" t="n"/>
      <c r="N21" s="21" t="n"/>
    </row>
    <row r="22" ht="26.4" customHeight="1" s="32">
      <c r="A22" s="18" t="n">
        <v>18</v>
      </c>
      <c r="B22" s="19" t="inlineStr">
        <is>
          <t>Prépa scientifique 1re année</t>
        </is>
      </c>
      <c r="C22" s="19" t="inlineStr">
        <is>
          <t>MPSI</t>
        </is>
      </c>
      <c r="D22" s="20" t="inlineStr">
        <is>
          <t>2026-2027</t>
        </is>
      </c>
      <c r="E22" s="21" t="inlineStr">
        <is>
          <t>Arrêté du 05/01/2021, BO spécial n°1 du 11/02/2021 (annexe MPSI/MP2I)</t>
        </is>
      </c>
      <c r="F22" s="20" t="inlineStr">
        <is>
          <t>Terminé</t>
        </is>
      </c>
      <c r="G22" s="22" t="inlineStr">
        <is>
          <t>Non</t>
        </is>
      </c>
      <c r="H22" s="23" t="n">
        <v>552</v>
      </c>
      <c r="I22" s="23" t="n">
        <v>20</v>
      </c>
      <c r="J22" s="23" t="n">
        <v>500</v>
      </c>
      <c r="K22" s="20" t="inlineStr">
        <is>
          <t>24/10/2026</t>
        </is>
      </c>
      <c r="L22" s="21" t="inlineStr">
        <is>
          <t>livre-mpsi/</t>
        </is>
      </c>
      <c r="M22" s="21" t="inlineStr">
        <is>
          <t>OptiTAB - Mathématiques - MPSI - Manuel complet.pdf</t>
        </is>
      </c>
      <c r="N22" s="21" t="inlineStr">
        <is>
          <t>25 exercices par chapitre (Applications, Entraînement, Approfondissement, Défi) ; partie Évaluations : 6 DS, 4 DM, 2 examens, 4 sujets type concours (CCINP, Mines-Ponts, Centrale-Supélec, X-ENS), corrigés avec barème ; ~62 900 vérifications Python. ISBN à compléter.</t>
        </is>
      </c>
    </row>
    <row r="23" ht="26.4" customHeight="1" s="32">
      <c r="A23" s="18" t="n">
        <v>19</v>
      </c>
      <c r="B23" s="19" t="inlineStr">
        <is>
          <t>Prépa scientifique 1re année</t>
        </is>
      </c>
      <c r="C23" s="19" t="inlineStr">
        <is>
          <t>MP2I</t>
        </is>
      </c>
      <c r="D23" s="20" t="n"/>
      <c r="E23" s="21" t="n"/>
      <c r="F23" s="20" t="inlineStr">
        <is>
          <t>À faire</t>
        </is>
      </c>
      <c r="G23" s="22" t="inlineStr">
        <is>
          <t>Non</t>
        </is>
      </c>
      <c r="H23" s="23" t="n"/>
      <c r="I23" s="23" t="n"/>
      <c r="J23" s="23" t="n"/>
      <c r="K23" s="20" t="n"/>
      <c r="L23" s="21" t="n"/>
      <c r="M23" s="21" t="n"/>
      <c r="N23" s="21" t="n"/>
    </row>
    <row r="24" ht="26.4" customHeight="1" s="32">
      <c r="A24" s="18" t="n">
        <v>20</v>
      </c>
      <c r="B24" s="19" t="inlineStr">
        <is>
          <t>Prépa scientifique 1re année</t>
        </is>
      </c>
      <c r="C24" s="19" t="inlineStr">
        <is>
          <t>PCSI</t>
        </is>
      </c>
      <c r="D24" s="20" t="n"/>
      <c r="E24" s="21" t="n"/>
      <c r="F24" s="20" t="inlineStr">
        <is>
          <t>À faire</t>
        </is>
      </c>
      <c r="G24" s="22" t="inlineStr">
        <is>
          <t>Non</t>
        </is>
      </c>
      <c r="H24" s="23" t="n"/>
      <c r="I24" s="23" t="n"/>
      <c r="J24" s="23" t="n"/>
      <c r="K24" s="20" t="n"/>
      <c r="L24" s="21" t="n"/>
      <c r="M24" s="21" t="n"/>
      <c r="N24" s="21" t="n"/>
    </row>
    <row r="25" ht="26.4" customHeight="1" s="32">
      <c r="A25" s="18" t="n">
        <v>21</v>
      </c>
      <c r="B25" s="19" t="inlineStr">
        <is>
          <t>Prépa scientifique 1re année</t>
        </is>
      </c>
      <c r="C25" s="19" t="inlineStr">
        <is>
          <t>PTSI</t>
        </is>
      </c>
      <c r="D25" s="20" t="n"/>
      <c r="E25" s="21" t="n"/>
      <c r="F25" s="20" t="inlineStr">
        <is>
          <t>À faire</t>
        </is>
      </c>
      <c r="G25" s="22" t="inlineStr">
        <is>
          <t>Non</t>
        </is>
      </c>
      <c r="H25" s="23" t="n"/>
      <c r="I25" s="23" t="n"/>
      <c r="J25" s="23" t="n"/>
      <c r="K25" s="20" t="n"/>
      <c r="L25" s="21" t="n"/>
      <c r="M25" s="21" t="n"/>
      <c r="N25" s="21" t="n"/>
    </row>
    <row r="26" ht="26.4" customHeight="1" s="32">
      <c r="A26" s="18" t="n">
        <v>22</v>
      </c>
      <c r="B26" s="19" t="inlineStr">
        <is>
          <t>Prépa scientifique 1re année</t>
        </is>
      </c>
      <c r="C26" s="19" t="inlineStr">
        <is>
          <t>BCPST 1</t>
        </is>
      </c>
      <c r="D26" s="20" t="n"/>
      <c r="E26" s="21" t="n"/>
      <c r="F26" s="20" t="inlineStr">
        <is>
          <t>À faire</t>
        </is>
      </c>
      <c r="G26" s="22" t="inlineStr">
        <is>
          <t>Non</t>
        </is>
      </c>
      <c r="H26" s="23" t="n"/>
      <c r="I26" s="23" t="n"/>
      <c r="J26" s="23" t="n"/>
      <c r="K26" s="20" t="n"/>
      <c r="L26" s="21" t="n"/>
      <c r="M26" s="21" t="n"/>
      <c r="N26" s="21" t="n"/>
    </row>
    <row r="27">
      <c r="A27" s="20" t="n">
        <v>23</v>
      </c>
      <c r="B27" s="21" t="inlineStr">
        <is>
          <t>Prépa scientifique 2e année</t>
        </is>
      </c>
      <c r="C27" s="21" t="inlineStr">
        <is>
          <t>MP</t>
        </is>
      </c>
      <c r="D27" s="20" t="n"/>
      <c r="E27" s="21" t="n"/>
      <c r="F27" s="20" t="inlineStr">
        <is>
          <t>À faire</t>
        </is>
      </c>
      <c r="G27" s="22" t="inlineStr">
        <is>
          <t>Non</t>
        </is>
      </c>
      <c r="H27" s="23" t="n"/>
      <c r="I27" s="23" t="n"/>
      <c r="J27" s="23" t="n"/>
      <c r="K27" s="20" t="n"/>
      <c r="L27" s="21" t="n"/>
      <c r="M27" s="21" t="n"/>
      <c r="N27" s="21" t="n"/>
    </row>
    <row r="28">
      <c r="A28" s="20" t="n">
        <v>24</v>
      </c>
      <c r="B28" s="21" t="inlineStr">
        <is>
          <t>Prépa scientifique 2e année</t>
        </is>
      </c>
      <c r="C28" s="21" t="inlineStr">
        <is>
          <t>MPI</t>
        </is>
      </c>
      <c r="D28" s="20" t="n"/>
      <c r="E28" s="21" t="n"/>
      <c r="F28" s="20" t="inlineStr">
        <is>
          <t>À faire</t>
        </is>
      </c>
      <c r="G28" s="22" t="inlineStr">
        <is>
          <t>Non</t>
        </is>
      </c>
      <c r="H28" s="23" t="n"/>
      <c r="I28" s="23" t="n"/>
      <c r="J28" s="23" t="n"/>
      <c r="K28" s="20" t="n"/>
      <c r="L28" s="21" t="n"/>
      <c r="M28" s="21" t="n"/>
      <c r="N28" s="21" t="n"/>
    </row>
    <row r="29">
      <c r="A29" s="20" t="n">
        <v>25</v>
      </c>
      <c r="B29" s="21" t="inlineStr">
        <is>
          <t>Prépa scientifique 2e année</t>
        </is>
      </c>
      <c r="C29" s="21" t="inlineStr">
        <is>
          <t>PC</t>
        </is>
      </c>
      <c r="D29" s="20" t="n"/>
      <c r="E29" s="21" t="n"/>
      <c r="F29" s="20" t="inlineStr">
        <is>
          <t>À faire</t>
        </is>
      </c>
      <c r="G29" s="22" t="inlineStr">
        <is>
          <t>Non</t>
        </is>
      </c>
      <c r="H29" s="23" t="n"/>
      <c r="I29" s="23" t="n"/>
      <c r="J29" s="23" t="n"/>
      <c r="K29" s="20" t="n"/>
      <c r="L29" s="21" t="n"/>
      <c r="M29" s="21" t="n"/>
      <c r="N29" s="21" t="n"/>
    </row>
    <row r="30">
      <c r="A30" s="20" t="n">
        <v>26</v>
      </c>
      <c r="B30" s="21" t="inlineStr">
        <is>
          <t>Prépa scientifique 2e année</t>
        </is>
      </c>
      <c r="C30" s="21" t="inlineStr">
        <is>
          <t>PSI</t>
        </is>
      </c>
      <c r="D30" s="20" t="n"/>
      <c r="E30" s="21" t="n"/>
      <c r="F30" s="20" t="inlineStr">
        <is>
          <t>À faire</t>
        </is>
      </c>
      <c r="G30" s="22" t="inlineStr">
        <is>
          <t>Non</t>
        </is>
      </c>
      <c r="H30" s="23" t="n"/>
      <c r="I30" s="23" t="n"/>
      <c r="J30" s="23" t="n"/>
      <c r="K30" s="20" t="n"/>
      <c r="L30" s="21" t="n"/>
      <c r="M30" s="21" t="n"/>
      <c r="N30" s="21" t="n"/>
    </row>
    <row r="31">
      <c r="A31" s="20" t="n">
        <v>27</v>
      </c>
      <c r="B31" s="21" t="inlineStr">
        <is>
          <t>Prépa scientifique 2e année</t>
        </is>
      </c>
      <c r="C31" s="21" t="inlineStr">
        <is>
          <t>PT</t>
        </is>
      </c>
      <c r="D31" s="20" t="n"/>
      <c r="E31" s="21" t="n"/>
      <c r="F31" s="20" t="inlineStr">
        <is>
          <t>À faire</t>
        </is>
      </c>
      <c r="G31" s="22" t="inlineStr">
        <is>
          <t>Non</t>
        </is>
      </c>
      <c r="H31" s="23" t="n"/>
      <c r="I31" s="23" t="n"/>
      <c r="J31" s="23" t="n"/>
      <c r="K31" s="20" t="n"/>
      <c r="L31" s="21" t="n"/>
      <c r="M31" s="21" t="n"/>
      <c r="N31" s="21" t="n"/>
    </row>
    <row r="32">
      <c r="A32" s="20" t="n">
        <v>28</v>
      </c>
      <c r="B32" s="21" t="inlineStr">
        <is>
          <t>Prépa scientifique 2e année</t>
        </is>
      </c>
      <c r="C32" s="21" t="inlineStr">
        <is>
          <t>BCPST 2</t>
        </is>
      </c>
      <c r="D32" s="20" t="n"/>
      <c r="E32" s="21" t="n"/>
      <c r="F32" s="20" t="inlineStr">
        <is>
          <t>À faire</t>
        </is>
      </c>
      <c r="G32" s="22" t="inlineStr">
        <is>
          <t>Non</t>
        </is>
      </c>
      <c r="H32" s="23" t="n"/>
      <c r="I32" s="23" t="n"/>
      <c r="J32" s="23" t="n"/>
      <c r="K32" s="20" t="n"/>
      <c r="L32" s="21" t="n"/>
      <c r="M32" s="21" t="n"/>
      <c r="N32" s="21" t="n"/>
    </row>
    <row r="33">
      <c r="A33" s="18" t="n">
        <v>29</v>
      </c>
      <c r="B33" s="19" t="inlineStr">
        <is>
          <t>Prépa économique (ECG)</t>
        </is>
      </c>
      <c r="C33" s="19" t="inlineStr">
        <is>
          <t>Maths approfondies — ECG 1</t>
        </is>
      </c>
      <c r="D33" s="20" t="n"/>
      <c r="E33" s="21" t="n"/>
      <c r="F33" s="20" t="inlineStr">
        <is>
          <t>À faire</t>
        </is>
      </c>
      <c r="G33" s="22" t="inlineStr">
        <is>
          <t>Non</t>
        </is>
      </c>
      <c r="H33" s="23" t="n"/>
      <c r="I33" s="23" t="n"/>
      <c r="J33" s="23" t="n"/>
      <c r="K33" s="20" t="n"/>
      <c r="L33" s="21" t="n"/>
      <c r="M33" s="21" t="n"/>
      <c r="N33" s="21" t="n"/>
    </row>
    <row r="34">
      <c r="A34" s="18" t="n">
        <v>30</v>
      </c>
      <c r="B34" s="19" t="inlineStr">
        <is>
          <t>Prépa économique (ECG)</t>
        </is>
      </c>
      <c r="C34" s="19" t="inlineStr">
        <is>
          <t>Maths appliquées — ECG 1</t>
        </is>
      </c>
      <c r="D34" s="20" t="n"/>
      <c r="E34" s="21" t="n"/>
      <c r="F34" s="20" t="inlineStr">
        <is>
          <t>À faire</t>
        </is>
      </c>
      <c r="G34" s="22" t="inlineStr">
        <is>
          <t>Non</t>
        </is>
      </c>
      <c r="H34" s="23" t="n"/>
      <c r="I34" s="23" t="n"/>
      <c r="J34" s="23" t="n"/>
      <c r="K34" s="20" t="n"/>
      <c r="L34" s="21" t="n"/>
      <c r="M34" s="21" t="n"/>
      <c r="N34" s="21" t="n"/>
    </row>
    <row r="35">
      <c r="A35" s="18" t="n">
        <v>31</v>
      </c>
      <c r="B35" s="19" t="inlineStr">
        <is>
          <t>Prépa économique (ECG)</t>
        </is>
      </c>
      <c r="C35" s="19" t="inlineStr">
        <is>
          <t>Maths approfondies — ECG 2</t>
        </is>
      </c>
      <c r="D35" s="20" t="n"/>
      <c r="E35" s="21" t="n"/>
      <c r="F35" s="20" t="inlineStr">
        <is>
          <t>À faire</t>
        </is>
      </c>
      <c r="G35" s="22" t="inlineStr">
        <is>
          <t>Non</t>
        </is>
      </c>
      <c r="H35" s="23" t="n"/>
      <c r="I35" s="23" t="n"/>
      <c r="J35" s="23" t="n"/>
      <c r="K35" s="20" t="n"/>
      <c r="L35" s="21" t="n"/>
      <c r="M35" s="21" t="n"/>
      <c r="N35" s="21" t="n"/>
    </row>
    <row r="36">
      <c r="A36" s="18" t="n">
        <v>32</v>
      </c>
      <c r="B36" s="19" t="inlineStr">
        <is>
          <t>Prépa économique (ECG)</t>
        </is>
      </c>
      <c r="C36" s="19" t="inlineStr">
        <is>
          <t>Maths appliquées — ECG 2</t>
        </is>
      </c>
      <c r="D36" s="20" t="n"/>
      <c r="E36" s="21" t="n"/>
      <c r="F36" s="20" t="inlineStr">
        <is>
          <t>À faire</t>
        </is>
      </c>
      <c r="G36" s="22" t="inlineStr">
        <is>
          <t>Non</t>
        </is>
      </c>
      <c r="H36" s="23" t="n"/>
      <c r="I36" s="23" t="n"/>
      <c r="J36" s="23" t="n"/>
      <c r="K36" s="20" t="n"/>
      <c r="L36" s="21" t="n"/>
      <c r="M36" s="21" t="n"/>
      <c r="N36" s="21" t="n"/>
    </row>
    <row r="37" ht="26.4" customHeight="1" s="32">
      <c r="A37" s="20" t="n">
        <v>33</v>
      </c>
      <c r="B37" s="21" t="inlineStr">
        <is>
          <t>Concours de l’enseignement</t>
        </is>
      </c>
      <c r="C37" s="21" t="inlineStr">
        <is>
          <t>CRPE (professeur des écoles)</t>
        </is>
      </c>
      <c r="D37" s="20" t="n"/>
      <c r="E37" s="21" t="n"/>
      <c r="F37" s="20" t="inlineStr">
        <is>
          <t>À faire</t>
        </is>
      </c>
      <c r="G37" s="22" t="inlineStr">
        <is>
          <t>Non</t>
        </is>
      </c>
      <c r="H37" s="23" t="n"/>
      <c r="I37" s="23" t="n"/>
      <c r="J37" s="23" t="n"/>
      <c r="K37" s="20" t="n"/>
      <c r="L37" s="21" t="n"/>
      <c r="M37" s="21" t="n"/>
      <c r="N37" s="21" t="n"/>
    </row>
    <row r="38" ht="26.4" customHeight="1" s="32">
      <c r="A38" s="20" t="n">
        <v>34</v>
      </c>
      <c r="B38" s="21" t="inlineStr">
        <is>
          <t>Concours de l’enseignement</t>
        </is>
      </c>
      <c r="C38" s="21" t="inlineStr">
        <is>
          <t>CAPES</t>
        </is>
      </c>
      <c r="D38" s="20" t="n"/>
      <c r="E38" s="21" t="n"/>
      <c r="F38" s="20" t="inlineStr">
        <is>
          <t>À faire</t>
        </is>
      </c>
      <c r="G38" s="22" t="inlineStr">
        <is>
          <t>Non</t>
        </is>
      </c>
      <c r="H38" s="23" t="n"/>
      <c r="I38" s="23" t="n"/>
      <c r="J38" s="23" t="n"/>
      <c r="K38" s="20" t="n"/>
      <c r="L38" s="21" t="n"/>
      <c r="M38" s="21" t="n"/>
      <c r="N38" s="21" t="n"/>
    </row>
    <row r="39" ht="26.4" customHeight="1" s="32">
      <c r="A39" s="20" t="n">
        <v>35</v>
      </c>
      <c r="B39" s="21" t="inlineStr">
        <is>
          <t>Concours de l’enseignement</t>
        </is>
      </c>
      <c r="C39" s="21" t="inlineStr">
        <is>
          <t>CAPLP maths-sciences</t>
        </is>
      </c>
      <c r="D39" s="20" t="n"/>
      <c r="E39" s="21" t="n"/>
      <c r="F39" s="20" t="inlineStr">
        <is>
          <t>À faire</t>
        </is>
      </c>
      <c r="G39" s="22" t="inlineStr">
        <is>
          <t>Non</t>
        </is>
      </c>
      <c r="H39" s="23" t="n"/>
      <c r="I39" s="23" t="n"/>
      <c r="J39" s="23" t="n"/>
      <c r="K39" s="20" t="n"/>
      <c r="L39" s="21" t="n"/>
      <c r="M39" s="21" t="n"/>
      <c r="N39" s="21" t="inlineStr">
        <is>
          <t>Couvre maths + physique-chimie (lycée professionnel)</t>
        </is>
      </c>
    </row>
    <row r="40" ht="26.4" customHeight="1" s="32">
      <c r="A40" s="20" t="n">
        <v>36</v>
      </c>
      <c r="B40" s="21" t="inlineStr">
        <is>
          <t>Concours de l’enseignement</t>
        </is>
      </c>
      <c r="C40" s="21" t="inlineStr">
        <is>
          <t>Agrégation externe</t>
        </is>
      </c>
      <c r="D40" s="20" t="n"/>
      <c r="E40" s="21" t="n"/>
      <c r="F40" s="20" t="inlineStr">
        <is>
          <t>À faire</t>
        </is>
      </c>
      <c r="G40" s="22" t="inlineStr">
        <is>
          <t>Non</t>
        </is>
      </c>
      <c r="H40" s="23" t="n"/>
      <c r="I40" s="23" t="n"/>
      <c r="J40" s="23" t="n"/>
      <c r="K40" s="20" t="n"/>
      <c r="L40" s="21" t="n"/>
      <c r="M40" s="21" t="n"/>
      <c r="N40" s="21" t="n"/>
    </row>
    <row r="41" ht="26.4" customHeight="1" s="32">
      <c r="A41" s="20" t="n">
        <v>37</v>
      </c>
      <c r="B41" s="21" t="inlineStr">
        <is>
          <t>Concours de l’enseignement</t>
        </is>
      </c>
      <c r="C41" s="21" t="inlineStr">
        <is>
          <t>Agrégation interne</t>
        </is>
      </c>
      <c r="D41" s="20" t="n"/>
      <c r="E41" s="21" t="n"/>
      <c r="F41" s="20" t="inlineStr">
        <is>
          <t>À faire</t>
        </is>
      </c>
      <c r="G41" s="22" t="inlineStr">
        <is>
          <t>Non</t>
        </is>
      </c>
      <c r="H41" s="23" t="n"/>
      <c r="I41" s="23" t="n"/>
      <c r="J41" s="23" t="n"/>
      <c r="K41" s="20" t="n"/>
      <c r="L41" s="21" t="n"/>
      <c r="M41" s="21" t="n"/>
      <c r="N41" s="21" t="n"/>
    </row>
    <row r="42" ht="26.4" customHeight="1" s="32">
      <c r="A42" s="18" t="n">
        <v>38</v>
      </c>
      <c r="B42" s="19" t="inlineStr">
        <is>
          <t>Concours post-bac</t>
        </is>
      </c>
      <c r="C42" s="19" t="inlineStr">
        <is>
          <t>Ingénieurs post-bac (Avenir, Puissance Alpha, GEIPI-Polytech)</t>
        </is>
      </c>
      <c r="D42" s="20" t="n"/>
      <c r="E42" s="21" t="n"/>
      <c r="F42" s="20" t="inlineStr">
        <is>
          <t>À faire</t>
        </is>
      </c>
      <c r="G42" s="22" t="inlineStr">
        <is>
          <t>Non</t>
        </is>
      </c>
      <c r="H42" s="23" t="n"/>
      <c r="I42" s="23" t="n"/>
      <c r="J42" s="23" t="n"/>
      <c r="K42" s="20" t="n"/>
      <c r="L42" s="21" t="n"/>
      <c r="M42" s="21" t="n"/>
      <c r="N42" s="21" t="n"/>
    </row>
    <row r="43" ht="26.4" customHeight="1" s="32">
      <c r="A43" s="18" t="n">
        <v>39</v>
      </c>
      <c r="B43" s="19" t="inlineStr">
        <is>
          <t>Concours post-bac</t>
        </is>
      </c>
      <c r="C43" s="19" t="inlineStr">
        <is>
          <t>Commerce post-bac (Sésame, Accès)</t>
        </is>
      </c>
      <c r="D43" s="20" t="n"/>
      <c r="E43" s="21" t="n"/>
      <c r="F43" s="20" t="inlineStr">
        <is>
          <t>À faire</t>
        </is>
      </c>
      <c r="G43" s="22" t="inlineStr">
        <is>
          <t>Non</t>
        </is>
      </c>
      <c r="H43" s="23" t="n"/>
      <c r="I43" s="23" t="n"/>
      <c r="J43" s="23" t="n"/>
      <c r="K43" s="20" t="n"/>
      <c r="L43" s="21" t="n"/>
      <c r="M43" s="21" t="n"/>
      <c r="N43" s="21" t="n"/>
    </row>
    <row r="44" ht="26.4" customHeight="1" s="32">
      <c r="A44" s="20" t="n">
        <v>40</v>
      </c>
      <c r="B44" s="21" t="inlineStr">
        <is>
          <t>Concours CPGE ingénieurs et ENS</t>
        </is>
      </c>
      <c r="C44" s="21" t="inlineStr">
        <is>
          <t>X-ENS</t>
        </is>
      </c>
      <c r="D44" s="20" t="n"/>
      <c r="E44" s="21" t="n"/>
      <c r="F44" s="20" t="inlineStr">
        <is>
          <t>À faire</t>
        </is>
      </c>
      <c r="G44" s="22" t="inlineStr">
        <is>
          <t>Non</t>
        </is>
      </c>
      <c r="H44" s="23" t="n"/>
      <c r="I44" s="23" t="n"/>
      <c r="J44" s="23" t="n"/>
      <c r="K44" s="20" t="n"/>
      <c r="L44" s="21" t="n"/>
      <c r="M44" s="21" t="n"/>
      <c r="N44" s="21" t="inlineStr">
        <is>
          <t>Polytechnique + ENS</t>
        </is>
      </c>
    </row>
    <row r="45" ht="26.4" customHeight="1" s="32">
      <c r="A45" s="20" t="n">
        <v>41</v>
      </c>
      <c r="B45" s="21" t="inlineStr">
        <is>
          <t>Concours CPGE ingénieurs et ENS</t>
        </is>
      </c>
      <c r="C45" s="21" t="inlineStr">
        <is>
          <t>Mines-Ponts</t>
        </is>
      </c>
      <c r="D45" s="20" t="n"/>
      <c r="E45" s="21" t="n"/>
      <c r="F45" s="20" t="inlineStr">
        <is>
          <t>À faire</t>
        </is>
      </c>
      <c r="G45" s="22" t="inlineStr">
        <is>
          <t>Non</t>
        </is>
      </c>
      <c r="H45" s="23" t="n"/>
      <c r="I45" s="23" t="n"/>
      <c r="J45" s="23" t="n"/>
      <c r="K45" s="20" t="n"/>
      <c r="L45" s="21" t="n"/>
      <c r="M45" s="21" t="n"/>
      <c r="N45" s="21" t="n"/>
    </row>
    <row r="46" ht="26.4" customHeight="1" s="32">
      <c r="A46" s="20" t="n">
        <v>42</v>
      </c>
      <c r="B46" s="21" t="inlineStr">
        <is>
          <t>Concours CPGE ingénieurs et ENS</t>
        </is>
      </c>
      <c r="C46" s="21" t="inlineStr">
        <is>
          <t>Centrale-Supélec</t>
        </is>
      </c>
      <c r="D46" s="20" t="n"/>
      <c r="E46" s="21" t="n"/>
      <c r="F46" s="20" t="inlineStr">
        <is>
          <t>À faire</t>
        </is>
      </c>
      <c r="G46" s="22" t="inlineStr">
        <is>
          <t>Non</t>
        </is>
      </c>
      <c r="H46" s="23" t="n"/>
      <c r="I46" s="23" t="n"/>
      <c r="J46" s="23" t="n"/>
      <c r="K46" s="20" t="n"/>
      <c r="L46" s="21" t="n"/>
      <c r="M46" s="21" t="n"/>
      <c r="N46" s="21" t="n"/>
    </row>
    <row r="47" ht="26.4" customHeight="1" s="32">
      <c r="A47" s="20" t="n">
        <v>43</v>
      </c>
      <c r="B47" s="21" t="inlineStr">
        <is>
          <t>Concours CPGE ingénieurs et ENS</t>
        </is>
      </c>
      <c r="C47" s="21" t="inlineStr">
        <is>
          <t>CCINP</t>
        </is>
      </c>
      <c r="D47" s="20" t="n"/>
      <c r="E47" s="21" t="n"/>
      <c r="F47" s="20" t="inlineStr">
        <is>
          <t>À faire</t>
        </is>
      </c>
      <c r="G47" s="22" t="inlineStr">
        <is>
          <t>Non</t>
        </is>
      </c>
      <c r="H47" s="23" t="n"/>
      <c r="I47" s="23" t="n"/>
      <c r="J47" s="23" t="n"/>
      <c r="K47" s="20" t="n"/>
      <c r="L47" s="21" t="n"/>
      <c r="M47" s="21" t="n"/>
      <c r="N47" s="21" t="n"/>
    </row>
    <row r="48" ht="26.4" customHeight="1" s="32">
      <c r="A48" s="20" t="n">
        <v>44</v>
      </c>
      <c r="B48" s="21" t="inlineStr">
        <is>
          <t>Concours CPGE ingénieurs et ENS</t>
        </is>
      </c>
      <c r="C48" s="21" t="inlineStr">
        <is>
          <t>e3a-Polytech &amp; Banque PT</t>
        </is>
      </c>
      <c r="D48" s="20" t="n"/>
      <c r="E48" s="21" t="n"/>
      <c r="F48" s="20" t="inlineStr">
        <is>
          <t>À faire</t>
        </is>
      </c>
      <c r="G48" s="22" t="inlineStr">
        <is>
          <t>Non</t>
        </is>
      </c>
      <c r="H48" s="23" t="n"/>
      <c r="I48" s="23" t="n"/>
      <c r="J48" s="23" t="n"/>
      <c r="K48" s="20" t="n"/>
      <c r="L48" s="21" t="n"/>
      <c r="M48" s="21" t="n"/>
      <c r="N48" s="21" t="n"/>
    </row>
    <row r="49" ht="26.4" customHeight="1" s="32">
      <c r="A49" s="20" t="n">
        <v>45</v>
      </c>
      <c r="B49" s="21" t="inlineStr">
        <is>
          <t>Concours CPGE ingénieurs et ENS</t>
        </is>
      </c>
      <c r="C49" s="21" t="inlineStr">
        <is>
          <t>Agro-Véto &amp; G2E (BCPST)</t>
        </is>
      </c>
      <c r="D49" s="20" t="n"/>
      <c r="E49" s="21" t="n"/>
      <c r="F49" s="20" t="inlineStr">
        <is>
          <t>À faire</t>
        </is>
      </c>
      <c r="G49" s="22" t="inlineStr">
        <is>
          <t>Non</t>
        </is>
      </c>
      <c r="H49" s="23" t="n"/>
      <c r="I49" s="23" t="n"/>
      <c r="J49" s="23" t="n"/>
      <c r="K49" s="20" t="n"/>
      <c r="L49" s="21" t="n"/>
      <c r="M49" s="21" t="n"/>
      <c r="N49" s="21" t="n"/>
    </row>
    <row r="50" ht="26.4" customHeight="1" s="32">
      <c r="A50" s="18" t="n">
        <v>46</v>
      </c>
      <c r="B50" s="19" t="inlineStr">
        <is>
          <t>Concours CPGE commerce</t>
        </is>
      </c>
      <c r="C50" s="19" t="inlineStr">
        <is>
          <t>BCE &amp; Ecricome — maths approfondies</t>
        </is>
      </c>
      <c r="D50" s="20" t="n"/>
      <c r="E50" s="21" t="n"/>
      <c r="F50" s="20" t="inlineStr">
        <is>
          <t>À faire</t>
        </is>
      </c>
      <c r="G50" s="22" t="inlineStr">
        <is>
          <t>Non</t>
        </is>
      </c>
      <c r="H50" s="23" t="n"/>
      <c r="I50" s="23" t="n"/>
      <c r="J50" s="23" t="n"/>
      <c r="K50" s="20" t="n"/>
      <c r="L50" s="21" t="n"/>
      <c r="M50" s="21" t="n"/>
      <c r="N50" s="21" t="n"/>
    </row>
    <row r="51" ht="26.4" customHeight="1" s="32">
      <c r="A51" s="18" t="n">
        <v>47</v>
      </c>
      <c r="B51" s="19" t="inlineStr">
        <is>
          <t>Concours CPGE commerce</t>
        </is>
      </c>
      <c r="C51" s="19" t="inlineStr">
        <is>
          <t>BCE &amp; Ecricome — maths appliquées</t>
        </is>
      </c>
      <c r="D51" s="20" t="n"/>
      <c r="E51" s="21" t="n"/>
      <c r="F51" s="20" t="inlineStr">
        <is>
          <t>À faire</t>
        </is>
      </c>
      <c r="G51" s="22" t="inlineStr">
        <is>
          <t>Non</t>
        </is>
      </c>
      <c r="H51" s="23" t="n"/>
      <c r="I51" s="23" t="n"/>
      <c r="J51" s="23" t="n"/>
      <c r="K51" s="20" t="n"/>
      <c r="L51" s="21" t="n"/>
      <c r="M51" s="21" t="n"/>
      <c r="N51" s="21" t="n"/>
    </row>
    <row r="52" ht="26.4" customHeight="1" s="32">
      <c r="A52" s="20" t="n">
        <v>48</v>
      </c>
      <c r="B52" s="21" t="inlineStr">
        <is>
          <t>Concours lycéens</t>
        </is>
      </c>
      <c r="C52" s="21" t="inlineStr">
        <is>
          <t>Concours général &amp; Olympiades</t>
        </is>
      </c>
      <c r="D52" s="20" t="n"/>
      <c r="E52" s="21" t="n"/>
      <c r="F52" s="20" t="inlineStr">
        <is>
          <t>À faire</t>
        </is>
      </c>
      <c r="G52" s="22" t="inlineStr">
        <is>
          <t>Non</t>
        </is>
      </c>
      <c r="H52" s="23" t="n"/>
      <c r="I52" s="23" t="n"/>
      <c r="J52" s="23" t="n"/>
      <c r="K52" s="20" t="n"/>
      <c r="L52" s="21" t="n"/>
      <c r="M52" s="21" t="n"/>
      <c r="N52" s="21" t="inlineStr">
        <is>
          <t>Le Brevet est couvert par le livre de 3e, le bac par les sujets du livre de Terminale</t>
        </is>
      </c>
    </row>
    <row r="53"/>
    <row r="54">
      <c r="A54" s="25" t="inlineStr">
        <is>
          <t>Sources : SUIVI-LIVRES.md et fichiers des livres (README, plans, PDF livrés), relevés le 23/10/2026. Les PDF sont dans output/&lt;Matière&gt;/ et sur le Bureau, dossier « Livres OptiTAB - Lycée ».</t>
        </is>
      </c>
    </row>
  </sheetData>
  <autoFilter ref="A4:N52"/>
  <conditionalFormatting sqref="F5:F52">
    <cfRule type="cellIs" priority="1" operator="equal" dxfId="0">
      <formula>"Terminé"</formula>
    </cfRule>
    <cfRule type="cellIs" priority="2" operator="equal" dxfId="2">
      <formula>"En cours"</formula>
    </cfRule>
    <cfRule type="cellIs" priority="3" operator="equal" dxfId="1">
      <formula>"À faire"</formula>
    </cfRule>
  </conditionalFormatting>
  <conditionalFormatting sqref="G5:G52">
    <cfRule type="cellIs" priority="4" operator="equal" dxfId="0">
      <formula>"Oui"</formula>
    </cfRule>
  </conditionalFormatting>
  <dataValidations count="2">
    <dataValidation sqref="F5:F82" showDropDown="0" showInputMessage="0" showErrorMessage="0" allowBlank="0" type="list">
      <formula1>"Terminé,En cours,À faire"</formula1>
    </dataValidation>
    <dataValidation sqref="G5:G82" showDropDown="0" showInputMessage="0" showErrorMessage="0" allowBlank="0" type="list">
      <formula1>"Oui,Non"</formula1>
    </dataValidation>
  </dataValidation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rgb="FF9B6BC9"/>
    <outlinePr summaryBelow="1" summaryRight="1"/>
    <pageSetUpPr fitToPage="1"/>
  </sheetPr>
  <dimension ref="A1:N30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5" customWidth="1" style="32" min="1" max="1"/>
    <col width="24" customWidth="1" style="32" min="2" max="2"/>
    <col width="30" customWidth="1" style="32" min="3" max="3"/>
    <col width="11" customWidth="1" style="32" min="4" max="4"/>
    <col width="38" customWidth="1" style="32" min="5" max="5"/>
    <col width="12" customWidth="1" style="32" min="6" max="7"/>
    <col width="8" customWidth="1" style="32" min="8" max="8"/>
    <col width="11" customWidth="1" style="32" min="9" max="9"/>
    <col width="12" customWidth="1" style="32" min="10" max="11"/>
    <col width="22" customWidth="1" style="32" min="12" max="12"/>
    <col width="44" customWidth="1" style="32" min="13" max="13"/>
    <col width="52" customWidth="1" style="32" min="14" max="14"/>
  </cols>
  <sheetData>
    <row r="1" ht="25.95" customHeight="1" s="32">
      <c r="A1" s="1" t="inlineStr">
        <is>
          <t>Physique-chimie — tous les livres</t>
        </is>
      </c>
    </row>
    <row r="2">
      <c r="A2" s="2" t="inlineStr">
        <is>
          <t>Statut au 23/10/2026. Colonne jaune « Revérifié par vous » : à remplir après votre relecture (Oui / Non).</t>
        </is>
      </c>
    </row>
    <row r="3"/>
    <row r="4" ht="31.95" customHeight="1" s="32">
      <c r="A4" s="3" t="inlineStr">
        <is>
          <t>N°</t>
        </is>
      </c>
      <c r="B4" s="3" t="inlineStr">
        <is>
          <t>Catégorie</t>
        </is>
      </c>
      <c r="C4" s="3" t="inlineStr">
        <is>
          <t>Livre</t>
        </is>
      </c>
      <c r="D4" s="3" t="inlineStr">
        <is>
          <t>Édition</t>
        </is>
      </c>
      <c r="E4" s="3" t="inlineStr">
        <is>
          <t>Programme de référence</t>
        </is>
      </c>
      <c r="F4" s="3" t="inlineStr">
        <is>
          <t>Statut</t>
        </is>
      </c>
      <c r="G4" s="3" t="inlineStr">
        <is>
          <t>Revérifié par vous</t>
        </is>
      </c>
      <c r="H4" s="3" t="inlineStr">
        <is>
          <t>Pages</t>
        </is>
      </c>
      <c r="I4" s="3" t="inlineStr">
        <is>
          <t>Chapitres / parties</t>
        </is>
      </c>
      <c r="J4" s="3" t="inlineStr">
        <is>
          <t>Exercices / activités</t>
        </is>
      </c>
      <c r="K4" s="3" t="inlineStr">
        <is>
          <t>Livré le</t>
        </is>
      </c>
      <c r="L4" s="3" t="inlineStr">
        <is>
          <t>Dossier source</t>
        </is>
      </c>
      <c r="M4" s="3" t="inlineStr">
        <is>
          <t>Fichier PDF</t>
        </is>
      </c>
      <c r="N4" s="3" t="inlineStr">
        <is>
          <t>Remarques</t>
        </is>
      </c>
    </row>
    <row r="5" ht="26.4" customHeight="1" s="32">
      <c r="A5" s="18" t="n">
        <v>1</v>
      </c>
      <c r="B5" s="19" t="inlineStr">
        <is>
          <t>Collège</t>
        </is>
      </c>
      <c r="C5" s="19" t="inlineStr">
        <is>
          <t>Cinquième (5e)</t>
        </is>
      </c>
      <c r="D5" s="20" t="inlineStr">
        <is>
          <t>2026-2027</t>
        </is>
      </c>
      <c r="E5" s="21" t="inlineStr">
        <is>
          <t>Programme du cycle 4</t>
        </is>
      </c>
      <c r="F5" s="20" t="inlineStr">
        <is>
          <t>En cours</t>
        </is>
      </c>
      <c r="G5" s="22" t="inlineStr">
        <is>
          <t>Non</t>
        </is>
      </c>
      <c r="H5" s="23" t="n"/>
      <c r="I5" s="23" t="n">
        <v>20</v>
      </c>
      <c r="J5" s="23" t="n">
        <v>300</v>
      </c>
      <c r="K5" s="20" t="n"/>
      <c r="L5" s="21" t="inlineStr">
        <is>
          <t>livre-pc-cinquieme/</t>
        </is>
      </c>
      <c r="M5" s="21" t="inlineStr">
        <is>
          <t>OptiTAB - Physique-chimie - Cinquième (5e) - Manuel complet.pdf</t>
        </is>
      </c>
      <c r="N5" s="21" t="inlineStr">
        <is>
          <t>Manuel complet en cours de mise en page ; une version de 301 pages est dans output, pas encore sur le Bureau</t>
        </is>
      </c>
    </row>
    <row r="6">
      <c r="A6" s="18" t="n">
        <v>2</v>
      </c>
      <c r="B6" s="19" t="inlineStr">
        <is>
          <t>Collège</t>
        </is>
      </c>
      <c r="C6" s="19" t="inlineStr">
        <is>
          <t>Quatrième (4e)</t>
        </is>
      </c>
      <c r="D6" s="20" t="n"/>
      <c r="E6" s="21" t="n"/>
      <c r="F6" s="20" t="inlineStr">
        <is>
          <t>À faire</t>
        </is>
      </c>
      <c r="G6" s="22" t="inlineStr">
        <is>
          <t>Non</t>
        </is>
      </c>
      <c r="H6" s="23" t="n"/>
      <c r="I6" s="23" t="n"/>
      <c r="J6" s="23" t="n"/>
      <c r="K6" s="20" t="n"/>
      <c r="L6" s="21" t="n"/>
      <c r="M6" s="21" t="n"/>
      <c r="N6" s="21" t="n"/>
    </row>
    <row r="7">
      <c r="A7" s="18" t="n">
        <v>3</v>
      </c>
      <c r="B7" s="19" t="inlineStr">
        <is>
          <t>Collège</t>
        </is>
      </c>
      <c r="C7" s="19" t="inlineStr">
        <is>
          <t>Troisième (3e)</t>
        </is>
      </c>
      <c r="D7" s="20" t="n"/>
      <c r="E7" s="21" t="n"/>
      <c r="F7" s="20" t="inlineStr">
        <is>
          <t>À faire</t>
        </is>
      </c>
      <c r="G7" s="22" t="inlineStr">
        <is>
          <t>Non</t>
        </is>
      </c>
      <c r="H7" s="23" t="n"/>
      <c r="I7" s="23" t="n"/>
      <c r="J7" s="23" t="n"/>
      <c r="K7" s="20" t="n"/>
      <c r="L7" s="21" t="n"/>
      <c r="M7" s="21" t="n"/>
      <c r="N7" s="21" t="n"/>
    </row>
    <row r="8">
      <c r="A8" s="20" t="n">
        <v>4</v>
      </c>
      <c r="B8" s="21" t="inlineStr">
        <is>
          <t>Lycée général</t>
        </is>
      </c>
      <c r="C8" s="21" t="inlineStr">
        <is>
          <t>Seconde</t>
        </is>
      </c>
      <c r="D8" s="20" t="n"/>
      <c r="E8" s="21" t="n"/>
      <c r="F8" s="20" t="inlineStr">
        <is>
          <t>À faire</t>
        </is>
      </c>
      <c r="G8" s="22" t="inlineStr">
        <is>
          <t>Non</t>
        </is>
      </c>
      <c r="H8" s="23" t="n"/>
      <c r="I8" s="23" t="n"/>
      <c r="J8" s="23" t="n"/>
      <c r="K8" s="20" t="n"/>
      <c r="L8" s="21" t="n"/>
      <c r="M8" s="21" t="n"/>
      <c r="N8" s="21" t="inlineStr">
        <is>
          <t>Vérifier d’abord si le BO du 02/04/2026 modifie le programme</t>
        </is>
      </c>
    </row>
    <row r="9" ht="66" customHeight="1" s="32">
      <c r="A9" s="20" t="n">
        <v>5</v>
      </c>
      <c r="B9" s="21" t="inlineStr">
        <is>
          <t>Lycée général</t>
        </is>
      </c>
      <c r="C9" s="21" t="inlineStr">
        <is>
          <t>Première spécialité</t>
        </is>
      </c>
      <c r="D9" s="20" t="inlineStr">
        <is>
          <t>2026-2027</t>
        </is>
      </c>
      <c r="E9" s="21" t="inlineStr">
        <is>
          <t>Programme 2019 (BO spécial n°1 du 22/01/2019), inchangé en 2026</t>
        </is>
      </c>
      <c r="F9" s="20" t="inlineStr">
        <is>
          <t>En cours</t>
        </is>
      </c>
      <c r="G9" s="22" t="inlineStr">
        <is>
          <t>Non</t>
        </is>
      </c>
      <c r="H9" s="23" t="n">
        <v>295</v>
      </c>
      <c r="I9" s="23" t="n">
        <v>21</v>
      </c>
      <c r="J9" s="23" t="n">
        <v>315</v>
      </c>
      <c r="K9" s="20" t="n"/>
      <c r="L9" s="21" t="inlineStr">
        <is>
          <t>livre-pc-premiere/</t>
        </is>
      </c>
      <c r="M9" s="21" t="n"/>
      <c r="N9" s="21" t="inlineStr">
        <is>
          <t>Chapitres 1 à 12 terminés le 24/10/2026 (chimie 1 à 10, champs, fluides au repos) : 180 exercices, corrigés illustrés et pédagogiques, défis D01 à D12, calculs vérifiés (295 pages, aperçu livre-pc-premiere/main.pdf) ; suite deux chapitres à la fois après validation</t>
        </is>
      </c>
    </row>
    <row r="10" ht="39.6" customHeight="1" s="32">
      <c r="A10" s="20" t="n">
        <v>6</v>
      </c>
      <c r="B10" s="21" t="inlineStr">
        <is>
          <t>Lycée général</t>
        </is>
      </c>
      <c r="C10" s="21" t="inlineStr">
        <is>
          <t>Terminale spécialité</t>
        </is>
      </c>
      <c r="D10" s="20" t="inlineStr">
        <is>
          <t>2026-2027</t>
        </is>
      </c>
      <c r="E10" s="21" t="inlineStr">
        <is>
          <t>Programme 2019 (BO spécial n°8 du 25/07/2019) ; épreuve 2027 : note du 11/09/2026</t>
        </is>
      </c>
      <c r="F10" s="20" t="inlineStr">
        <is>
          <t>Terminé</t>
        </is>
      </c>
      <c r="G10" s="22" t="inlineStr">
        <is>
          <t>Non</t>
        </is>
      </c>
      <c r="H10" s="23" t="n">
        <v>701</v>
      </c>
      <c r="I10" s="23" t="n">
        <v>27</v>
      </c>
      <c r="J10" s="23" t="n">
        <v>405</v>
      </c>
      <c r="K10" s="24" t="n">
        <v>46318</v>
      </c>
      <c r="L10" s="21" t="inlineStr">
        <is>
          <t>livre-pc-terminale/</t>
        </is>
      </c>
      <c r="M10" s="21" t="inlineStr">
        <is>
          <t>OptiTAB - Physique-chimie - Terminale spécialité - Manuel complet.pdf</t>
        </is>
      </c>
      <c r="N10" s="21" t="inlineStr">
        <is>
          <t>Livré le 23/10/2026 : 27 chapitres (405 exercices corrigés), 27 défis, 6 sujets type bac corrigés avec barèmes, guides de l’épreuve et de l’ECE, fiches expérimentales, données utiles et repères du programme ; toutes les valeurs vérifiées par programme</t>
        </is>
      </c>
    </row>
    <row r="11">
      <c r="A11" s="18" t="n">
        <v>7</v>
      </c>
      <c r="B11" s="19" t="inlineStr">
        <is>
          <t>Prépa scientifique</t>
        </is>
      </c>
      <c r="C11" s="19" t="inlineStr">
        <is>
          <t>MPSI</t>
        </is>
      </c>
      <c r="D11" s="20" t="n"/>
      <c r="E11" s="21" t="n"/>
      <c r="F11" s="20" t="inlineStr">
        <is>
          <t>À faire</t>
        </is>
      </c>
      <c r="G11" s="22" t="inlineStr">
        <is>
          <t>Non</t>
        </is>
      </c>
      <c r="H11" s="23" t="n"/>
      <c r="I11" s="23" t="n"/>
      <c r="J11" s="23" t="n"/>
      <c r="K11" s="20" t="n"/>
      <c r="L11" s="21" t="n"/>
      <c r="M11" s="21" t="n"/>
      <c r="N11" s="21" t="n"/>
    </row>
    <row r="12">
      <c r="A12" s="18" t="n">
        <v>8</v>
      </c>
      <c r="B12" s="19" t="inlineStr">
        <is>
          <t>Prépa scientifique</t>
        </is>
      </c>
      <c r="C12" s="19" t="inlineStr">
        <is>
          <t>PCSI</t>
        </is>
      </c>
      <c r="D12" s="20" t="n"/>
      <c r="E12" s="21" t="n"/>
      <c r="F12" s="20" t="inlineStr">
        <is>
          <t>À faire</t>
        </is>
      </c>
      <c r="G12" s="22" t="inlineStr">
        <is>
          <t>Non</t>
        </is>
      </c>
      <c r="H12" s="23" t="n"/>
      <c r="I12" s="23" t="n"/>
      <c r="J12" s="23" t="n"/>
      <c r="K12" s="20" t="n"/>
      <c r="L12" s="21" t="n"/>
      <c r="M12" s="21" t="n"/>
      <c r="N12" s="21" t="n"/>
    </row>
    <row r="13">
      <c r="A13" s="18" t="n">
        <v>9</v>
      </c>
      <c r="B13" s="19" t="inlineStr">
        <is>
          <t>Prépa scientifique</t>
        </is>
      </c>
      <c r="C13" s="19" t="inlineStr">
        <is>
          <t>PTSI</t>
        </is>
      </c>
      <c r="D13" s="20" t="n"/>
      <c r="E13" s="21" t="n"/>
      <c r="F13" s="20" t="inlineStr">
        <is>
          <t>À faire</t>
        </is>
      </c>
      <c r="G13" s="22" t="inlineStr">
        <is>
          <t>Non</t>
        </is>
      </c>
      <c r="H13" s="23" t="n"/>
      <c r="I13" s="23" t="n"/>
      <c r="J13" s="23" t="n"/>
      <c r="K13" s="20" t="n"/>
      <c r="L13" s="21" t="n"/>
      <c r="M13" s="21" t="n"/>
      <c r="N13" s="21" t="n"/>
    </row>
    <row r="14">
      <c r="A14" s="18" t="n">
        <v>10</v>
      </c>
      <c r="B14" s="19" t="inlineStr">
        <is>
          <t>Prépa scientifique</t>
        </is>
      </c>
      <c r="C14" s="19" t="inlineStr">
        <is>
          <t>BCPST 1</t>
        </is>
      </c>
      <c r="D14" s="20" t="n"/>
      <c r="E14" s="21" t="n"/>
      <c r="F14" s="20" t="inlineStr">
        <is>
          <t>À faire</t>
        </is>
      </c>
      <c r="G14" s="22" t="inlineStr">
        <is>
          <t>Non</t>
        </is>
      </c>
      <c r="H14" s="23" t="n"/>
      <c r="I14" s="23" t="n"/>
      <c r="J14" s="23" t="n"/>
      <c r="K14" s="20" t="n"/>
      <c r="L14" s="21" t="n"/>
      <c r="M14" s="21" t="n"/>
      <c r="N14" s="21" t="n"/>
    </row>
    <row r="15">
      <c r="A15" s="18" t="n">
        <v>11</v>
      </c>
      <c r="B15" s="19" t="inlineStr">
        <is>
          <t>Prépa scientifique</t>
        </is>
      </c>
      <c r="C15" s="19" t="inlineStr">
        <is>
          <t>Physique MP / MPI</t>
        </is>
      </c>
      <c r="D15" s="20" t="n"/>
      <c r="E15" s="21" t="n"/>
      <c r="F15" s="20" t="inlineStr">
        <is>
          <t>À faire</t>
        </is>
      </c>
      <c r="G15" s="22" t="inlineStr">
        <is>
          <t>Non</t>
        </is>
      </c>
      <c r="H15" s="23" t="n"/>
      <c r="I15" s="23" t="n"/>
      <c r="J15" s="23" t="n"/>
      <c r="K15" s="20" t="n"/>
      <c r="L15" s="21" t="n"/>
      <c r="M15" s="21" t="n"/>
      <c r="N15" s="21" t="n"/>
    </row>
    <row r="16">
      <c r="A16" s="18" t="n">
        <v>12</v>
      </c>
      <c r="B16" s="19" t="inlineStr">
        <is>
          <t>Prépa scientifique</t>
        </is>
      </c>
      <c r="C16" s="19" t="inlineStr">
        <is>
          <t>PC</t>
        </is>
      </c>
      <c r="D16" s="20" t="n"/>
      <c r="E16" s="21" t="n"/>
      <c r="F16" s="20" t="inlineStr">
        <is>
          <t>À faire</t>
        </is>
      </c>
      <c r="G16" s="22" t="inlineStr">
        <is>
          <t>Non</t>
        </is>
      </c>
      <c r="H16" s="23" t="n"/>
      <c r="I16" s="23" t="n"/>
      <c r="J16" s="23" t="n"/>
      <c r="K16" s="20" t="n"/>
      <c r="L16" s="21" t="n"/>
      <c r="M16" s="21" t="n"/>
      <c r="N16" s="21" t="n"/>
    </row>
    <row r="17">
      <c r="A17" s="18" t="n">
        <v>13</v>
      </c>
      <c r="B17" s="19" t="inlineStr">
        <is>
          <t>Prépa scientifique</t>
        </is>
      </c>
      <c r="C17" s="19" t="inlineStr">
        <is>
          <t>Physique PSI</t>
        </is>
      </c>
      <c r="D17" s="20" t="n"/>
      <c r="E17" s="21" t="n"/>
      <c r="F17" s="20" t="inlineStr">
        <is>
          <t>À faire</t>
        </is>
      </c>
      <c r="G17" s="22" t="inlineStr">
        <is>
          <t>Non</t>
        </is>
      </c>
      <c r="H17" s="23" t="n"/>
      <c r="I17" s="23" t="n"/>
      <c r="J17" s="23" t="n"/>
      <c r="K17" s="20" t="n"/>
      <c r="L17" s="21" t="n"/>
      <c r="M17" s="21" t="n"/>
      <c r="N17" s="21" t="n"/>
    </row>
    <row r="18">
      <c r="A18" s="18" t="n">
        <v>14</v>
      </c>
      <c r="B18" s="19" t="inlineStr">
        <is>
          <t>Prépa scientifique</t>
        </is>
      </c>
      <c r="C18" s="19" t="inlineStr">
        <is>
          <t>Physique PT</t>
        </is>
      </c>
      <c r="D18" s="20" t="n"/>
      <c r="E18" s="21" t="n"/>
      <c r="F18" s="20" t="inlineStr">
        <is>
          <t>À faire</t>
        </is>
      </c>
      <c r="G18" s="22" t="inlineStr">
        <is>
          <t>Non</t>
        </is>
      </c>
      <c r="H18" s="23" t="n"/>
      <c r="I18" s="23" t="n"/>
      <c r="J18" s="23" t="n"/>
      <c r="K18" s="20" t="n"/>
      <c r="L18" s="21" t="n"/>
      <c r="M18" s="21" t="n"/>
      <c r="N18" s="21" t="n"/>
    </row>
    <row r="19">
      <c r="A19" s="18" t="n">
        <v>15</v>
      </c>
      <c r="B19" s="19" t="inlineStr">
        <is>
          <t>Prépa scientifique</t>
        </is>
      </c>
      <c r="C19" s="19" t="inlineStr">
        <is>
          <t>BCPST 2</t>
        </is>
      </c>
      <c r="D19" s="20" t="n"/>
      <c r="E19" s="21" t="n"/>
      <c r="F19" s="20" t="inlineStr">
        <is>
          <t>À faire</t>
        </is>
      </c>
      <c r="G19" s="22" t="inlineStr">
        <is>
          <t>Non</t>
        </is>
      </c>
      <c r="H19" s="23" t="n"/>
      <c r="I19" s="23" t="n"/>
      <c r="J19" s="23" t="n"/>
      <c r="K19" s="20" t="n"/>
      <c r="L19" s="21" t="n"/>
      <c r="M19" s="21" t="n"/>
      <c r="N19" s="21" t="n"/>
    </row>
    <row r="20" ht="26.4" customHeight="1" s="32">
      <c r="A20" s="20" t="n">
        <v>16</v>
      </c>
      <c r="B20" s="21" t="inlineStr">
        <is>
          <t>Concours de l’enseignement</t>
        </is>
      </c>
      <c r="C20" s="21" t="inlineStr">
        <is>
          <t>CAPES physique-chimie</t>
        </is>
      </c>
      <c r="D20" s="20" t="n"/>
      <c r="E20" s="21" t="n"/>
      <c r="F20" s="20" t="inlineStr">
        <is>
          <t>À faire</t>
        </is>
      </c>
      <c r="G20" s="22" t="inlineStr">
        <is>
          <t>Non</t>
        </is>
      </c>
      <c r="H20" s="23" t="n"/>
      <c r="I20" s="23" t="n"/>
      <c r="J20" s="23" t="n"/>
      <c r="K20" s="20" t="n"/>
      <c r="L20" s="21" t="n"/>
      <c r="M20" s="21" t="n"/>
      <c r="N20" s="21" t="n"/>
    </row>
    <row r="21" ht="26.4" customHeight="1" s="32">
      <c r="A21" s="20" t="n">
        <v>17</v>
      </c>
      <c r="B21" s="21" t="inlineStr">
        <is>
          <t>Concours de l’enseignement</t>
        </is>
      </c>
      <c r="C21" s="21" t="inlineStr">
        <is>
          <t>Agrégation externe — physique</t>
        </is>
      </c>
      <c r="D21" s="20" t="n"/>
      <c r="E21" s="21" t="n"/>
      <c r="F21" s="20" t="inlineStr">
        <is>
          <t>À faire</t>
        </is>
      </c>
      <c r="G21" s="22" t="inlineStr">
        <is>
          <t>Non</t>
        </is>
      </c>
      <c r="H21" s="23" t="n"/>
      <c r="I21" s="23" t="n"/>
      <c r="J21" s="23" t="n"/>
      <c r="K21" s="20" t="n"/>
      <c r="L21" s="21" t="n"/>
      <c r="M21" s="21" t="n"/>
      <c r="N21" s="21" t="n"/>
    </row>
    <row r="22" ht="26.4" customHeight="1" s="32">
      <c r="A22" s="20" t="n">
        <v>18</v>
      </c>
      <c r="B22" s="21" t="inlineStr">
        <is>
          <t>Concours de l’enseignement</t>
        </is>
      </c>
      <c r="C22" s="21" t="inlineStr">
        <is>
          <t>Agrégation externe — chimie</t>
        </is>
      </c>
      <c r="D22" s="20" t="n"/>
      <c r="E22" s="21" t="n"/>
      <c r="F22" s="20" t="inlineStr">
        <is>
          <t>À faire</t>
        </is>
      </c>
      <c r="G22" s="22" t="inlineStr">
        <is>
          <t>Non</t>
        </is>
      </c>
      <c r="H22" s="23" t="n"/>
      <c r="I22" s="23" t="n"/>
      <c r="J22" s="23" t="n"/>
      <c r="K22" s="20" t="n"/>
      <c r="L22" s="21" t="n"/>
      <c r="M22" s="21" t="n"/>
      <c r="N22" s="21" t="n"/>
    </row>
    <row r="23" ht="26.4" customHeight="1" s="32">
      <c r="A23" s="18" t="n">
        <v>19</v>
      </c>
      <c r="B23" s="19" t="inlineStr">
        <is>
          <t>Concours CPGE ingénieurs et ENS</t>
        </is>
      </c>
      <c r="C23" s="19" t="inlineStr">
        <is>
          <t>X-ENS — physique</t>
        </is>
      </c>
      <c r="D23" s="20" t="n"/>
      <c r="E23" s="21" t="n"/>
      <c r="F23" s="20" t="inlineStr">
        <is>
          <t>À faire</t>
        </is>
      </c>
      <c r="G23" s="22" t="inlineStr">
        <is>
          <t>Non</t>
        </is>
      </c>
      <c r="H23" s="23" t="n"/>
      <c r="I23" s="23" t="n"/>
      <c r="J23" s="23" t="n"/>
      <c r="K23" s="20" t="n"/>
      <c r="L23" s="21" t="n"/>
      <c r="M23" s="21" t="n"/>
      <c r="N23" s="21" t="n"/>
    </row>
    <row r="24" ht="26.4" customHeight="1" s="32">
      <c r="A24" s="18" t="n">
        <v>20</v>
      </c>
      <c r="B24" s="19" t="inlineStr">
        <is>
          <t>Concours CPGE ingénieurs et ENS</t>
        </is>
      </c>
      <c r="C24" s="19" t="inlineStr">
        <is>
          <t>Mines-Ponts</t>
        </is>
      </c>
      <c r="D24" s="20" t="n"/>
      <c r="E24" s="21" t="n"/>
      <c r="F24" s="20" t="inlineStr">
        <is>
          <t>À faire</t>
        </is>
      </c>
      <c r="G24" s="22" t="inlineStr">
        <is>
          <t>Non</t>
        </is>
      </c>
      <c r="H24" s="23" t="n"/>
      <c r="I24" s="23" t="n"/>
      <c r="J24" s="23" t="n"/>
      <c r="K24" s="20" t="n"/>
      <c r="L24" s="21" t="n"/>
      <c r="M24" s="21" t="n"/>
      <c r="N24" s="21" t="n"/>
    </row>
    <row r="25" ht="26.4" customHeight="1" s="32">
      <c r="A25" s="18" t="n">
        <v>21</v>
      </c>
      <c r="B25" s="19" t="inlineStr">
        <is>
          <t>Concours CPGE ingénieurs et ENS</t>
        </is>
      </c>
      <c r="C25" s="19" t="inlineStr">
        <is>
          <t>Centrale-Supélec</t>
        </is>
      </c>
      <c r="D25" s="20" t="n"/>
      <c r="E25" s="21" t="n"/>
      <c r="F25" s="20" t="inlineStr">
        <is>
          <t>À faire</t>
        </is>
      </c>
      <c r="G25" s="22" t="inlineStr">
        <is>
          <t>Non</t>
        </is>
      </c>
      <c r="H25" s="23" t="n"/>
      <c r="I25" s="23" t="n"/>
      <c r="J25" s="23" t="n"/>
      <c r="K25" s="20" t="n"/>
      <c r="L25" s="21" t="n"/>
      <c r="M25" s="21" t="n"/>
      <c r="N25" s="21" t="n"/>
    </row>
    <row r="26" ht="26.4" customHeight="1" s="32">
      <c r="A26" s="18" t="n">
        <v>22</v>
      </c>
      <c r="B26" s="19" t="inlineStr">
        <is>
          <t>Concours CPGE ingénieurs et ENS</t>
        </is>
      </c>
      <c r="C26" s="19" t="inlineStr">
        <is>
          <t>CCINP</t>
        </is>
      </c>
      <c r="D26" s="20" t="n"/>
      <c r="E26" s="21" t="n"/>
      <c r="F26" s="20" t="inlineStr">
        <is>
          <t>À faire</t>
        </is>
      </c>
      <c r="G26" s="22" t="inlineStr">
        <is>
          <t>Non</t>
        </is>
      </c>
      <c r="H26" s="23" t="n"/>
      <c r="I26" s="23" t="n"/>
      <c r="J26" s="23" t="n"/>
      <c r="K26" s="20" t="n"/>
      <c r="L26" s="21" t="n"/>
      <c r="M26" s="21" t="n"/>
      <c r="N26" s="21" t="n"/>
    </row>
    <row r="27" ht="26.4" customHeight="1" s="32">
      <c r="A27" s="18" t="n">
        <v>23</v>
      </c>
      <c r="B27" s="19" t="inlineStr">
        <is>
          <t>Concours CPGE ingénieurs et ENS</t>
        </is>
      </c>
      <c r="C27" s="19" t="inlineStr">
        <is>
          <t>e3a-Polytech &amp; Banque PT</t>
        </is>
      </c>
      <c r="D27" s="20" t="n"/>
      <c r="E27" s="21" t="n"/>
      <c r="F27" s="20" t="inlineStr">
        <is>
          <t>À faire</t>
        </is>
      </c>
      <c r="G27" s="22" t="inlineStr">
        <is>
          <t>Non</t>
        </is>
      </c>
      <c r="H27" s="23" t="n"/>
      <c r="I27" s="23" t="n"/>
      <c r="J27" s="23" t="n"/>
      <c r="K27" s="20" t="n"/>
      <c r="L27" s="21" t="n"/>
      <c r="M27" s="21" t="n"/>
      <c r="N27" s="21" t="n"/>
    </row>
    <row r="28" ht="26.4" customHeight="1" s="32">
      <c r="A28" s="18" t="n">
        <v>24</v>
      </c>
      <c r="B28" s="19" t="inlineStr">
        <is>
          <t>Concours CPGE ingénieurs et ENS</t>
        </is>
      </c>
      <c r="C28" s="19" t="inlineStr">
        <is>
          <t>Agro-Véto &amp; G2E (BCPST)</t>
        </is>
      </c>
      <c r="D28" s="20" t="n"/>
      <c r="E28" s="21" t="n"/>
      <c r="F28" s="20" t="inlineStr">
        <is>
          <t>À faire</t>
        </is>
      </c>
      <c r="G28" s="22" t="inlineStr">
        <is>
          <t>Non</t>
        </is>
      </c>
      <c r="H28" s="23" t="n"/>
      <c r="I28" s="23" t="n"/>
      <c r="J28" s="23" t="n"/>
      <c r="K28" s="20" t="n"/>
      <c r="L28" s="21" t="n"/>
      <c r="M28" s="21" t="n"/>
      <c r="N28" s="21" t="n"/>
    </row>
    <row r="29"/>
    <row r="30">
      <c r="A30" s="25" t="inlineStr">
        <is>
          <t>Sources : SUIVI-LIVRES.md et fichiers des livres (README, plans, PDF livrés), relevés le 23/10/2026. Les PDF sont dans output/&lt;Matière&gt;/ et sur le Bureau, dossier « Livres OptiTAB - Lycée ».</t>
        </is>
      </c>
    </row>
  </sheetData>
  <autoFilter ref="A4:N28"/>
  <conditionalFormatting sqref="F5:F28">
    <cfRule type="cellIs" priority="1" operator="equal" dxfId="0">
      <formula>"Terminé"</formula>
    </cfRule>
    <cfRule type="cellIs" priority="2" operator="equal" dxfId="2">
      <formula>"En cours"</formula>
    </cfRule>
    <cfRule type="cellIs" priority="3" operator="equal" dxfId="1">
      <formula>"À faire"</formula>
    </cfRule>
  </conditionalFormatting>
  <conditionalFormatting sqref="G5:G28">
    <cfRule type="cellIs" priority="4" operator="equal" dxfId="0">
      <formula>"Oui"</formula>
    </cfRule>
  </conditionalFormatting>
  <dataValidations count="2">
    <dataValidation sqref="F5:F58" showDropDown="0" showInputMessage="0" showErrorMessage="0" allowBlank="0" type="list">
      <formula1>"Terminé,En cours,À faire"</formula1>
    </dataValidation>
    <dataValidation sqref="G5:G58" showDropDown="0" showInputMessage="0" showErrorMessage="0" allowBlank="0" type="list">
      <formula1>"Oui,Non"</formula1>
    </dataValidation>
  </dataValidation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tabColor rgb="FF5FAC60"/>
    <outlinePr summaryBelow="1" summaryRight="1"/>
    <pageSetUpPr fitToPage="1"/>
  </sheetPr>
  <dimension ref="A1:M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5" customWidth="1" style="32" min="1" max="1"/>
    <col width="22" customWidth="1" style="32" min="2" max="2"/>
    <col width="18" customWidth="1" style="32" min="3" max="3"/>
    <col width="36" customWidth="1" style="32" min="4" max="4"/>
    <col width="18" customWidth="1" style="32" min="5" max="5"/>
    <col width="11" customWidth="1" style="32" min="6" max="6"/>
    <col width="10" customWidth="1" style="32" min="7" max="9"/>
    <col width="58" customWidth="1" style="32" min="10" max="10"/>
    <col width="20" customWidth="1" style="32" min="11" max="11"/>
    <col width="44" customWidth="1" style="32" min="12" max="12"/>
    <col width="34" customWidth="1" style="32" min="13" max="13"/>
  </cols>
  <sheetData>
    <row r="1" ht="25.95" customHeight="1" s="32">
      <c r="A1" s="1" t="inlineStr">
        <is>
          <t>Mises à jour pour les nouveaux programmes</t>
        </is>
      </c>
    </row>
    <row r="2">
      <c r="A2" s="2" t="inlineStr">
        <is>
          <t>Faites le 23/10/2026. Les anciennes versions remplacées sont gardées dans archives/anciennes-versions/.</t>
        </is>
      </c>
    </row>
    <row r="3"/>
    <row r="4" ht="31.95" customHeight="1" s="32">
      <c r="A4" s="3" t="inlineStr">
        <is>
          <t>N°</t>
        </is>
      </c>
      <c r="B4" s="3" t="inlineStr">
        <is>
          <t>Livre</t>
        </is>
      </c>
      <c r="C4" s="3" t="inlineStr">
        <is>
          <t>Type</t>
        </is>
      </c>
      <c r="D4" s="3" t="inlineStr">
        <is>
          <t>Programme</t>
        </is>
      </c>
      <c r="E4" s="3" t="inlineStr">
        <is>
          <t>Applicable</t>
        </is>
      </c>
      <c r="F4" s="3" t="inlineStr">
        <is>
          <t>Fait le</t>
        </is>
      </c>
      <c r="G4" s="3" t="inlineStr">
        <is>
          <t>Pages avant</t>
        </is>
      </c>
      <c r="H4" s="3" t="inlineStr">
        <is>
          <t>Pages après</t>
        </is>
      </c>
      <c r="I4" s="3" t="inlineStr">
        <is>
          <t>Écart de pages</t>
        </is>
      </c>
      <c r="J4" s="3" t="inlineStr">
        <is>
          <t>Ce qui a changé</t>
        </is>
      </c>
      <c r="K4" s="3" t="inlineStr">
        <is>
          <t>Dossier</t>
        </is>
      </c>
      <c r="L4" s="3" t="inlineStr">
        <is>
          <t>Fichier PDF</t>
        </is>
      </c>
      <c r="M4" s="3" t="inlineStr">
        <is>
          <t>Ancienne version / édition actuelle</t>
        </is>
      </c>
    </row>
    <row r="5" ht="26.4" customHeight="1" s="32">
      <c r="A5" s="20" t="n">
        <v>1</v>
      </c>
      <c r="B5" s="21" t="inlineStr">
        <is>
          <t>Cinquième (5e)</t>
        </is>
      </c>
      <c r="C5" s="26" t="inlineStr">
        <is>
          <t>Audit de conformité</t>
        </is>
      </c>
      <c r="D5" s="21" t="inlineStr">
        <is>
          <t>Programme cycle 4 2026 (BO n°10 du 05/03/2026)</t>
        </is>
      </c>
      <c r="E5" s="20" t="inlineStr">
        <is>
          <t>Rentrée 2026</t>
        </is>
      </c>
      <c r="F5" s="24" t="n">
        <v>46318</v>
      </c>
      <c r="G5" s="23" t="n">
        <v>328</v>
      </c>
      <c r="H5" s="23" t="n">
        <v>328</v>
      </c>
      <c r="I5" s="27">
        <f>H5-G5</f>
        <v/>
      </c>
      <c r="J5" s="21" t="inlineStr">
        <is>
          <t>117 attendus vérifiés un par un, 14 corrigés (valeur absolue, échelle de probabilité, démonstrations, perspective…)</t>
        </is>
      </c>
      <c r="K5" s="21" t="inlineStr">
        <is>
          <t>livre-cinquieme/</t>
        </is>
      </c>
      <c r="L5" s="21" t="inlineStr">
        <is>
          <t>OptiTAB - Mathématiques - Cinquième (5e) - Manuel complet.pdf</t>
        </is>
      </c>
      <c r="M5" s="21" t="inlineStr">
        <is>
          <t>optitab-cinquieme-complet-avant-audit-2026-10-23.pdf</t>
        </is>
      </c>
    </row>
    <row r="6" ht="26.4" customHeight="1" s="32">
      <c r="A6" s="20" t="n">
        <v>2</v>
      </c>
      <c r="B6" s="21" t="inlineStr">
        <is>
          <t>Seconde</t>
        </is>
      </c>
      <c r="C6" s="26" t="inlineStr">
        <is>
          <t>Audit de conformité</t>
        </is>
      </c>
      <c r="D6" s="21" t="inlineStr">
        <is>
          <t>BO n°14 du 02/04/2026 (NOR MENE2602914A)</t>
        </is>
      </c>
      <c r="E6" s="20" t="inlineStr">
        <is>
          <t>Rentrée 2026</t>
        </is>
      </c>
      <c r="F6" s="24" t="n">
        <v>46318</v>
      </c>
      <c r="G6" s="23" t="n">
        <v>279</v>
      </c>
      <c r="H6" s="23" t="n">
        <v>285</v>
      </c>
      <c r="I6" s="27">
        <f>H6-G6</f>
        <v/>
      </c>
      <c r="J6" s="21" t="inlineStr">
        <is>
          <t>178 attendus vérifiés ; 40 questions flash d’automatismes ; défaut d’affichage « oprule » des tableaux corrigé</t>
        </is>
      </c>
      <c r="K6" s="21" t="inlineStr">
        <is>
          <t>livre-seconde/</t>
        </is>
      </c>
      <c r="L6" s="21" t="inlineStr">
        <is>
          <t>OptiTAB - Mathématiques - Seconde générale et technologique - Manuel complet.pdf</t>
        </is>
      </c>
      <c r="M6" s="21" t="inlineStr">
        <is>
          <t>optitab-seconde-complet-avant-audit-2026-10-23.pdf</t>
        </is>
      </c>
    </row>
    <row r="7" ht="39.6" customHeight="1" s="32">
      <c r="A7" s="20" t="n">
        <v>3</v>
      </c>
      <c r="B7" s="21" t="inlineStr">
        <is>
          <t>Première spécialité</t>
        </is>
      </c>
      <c r="C7" s="26" t="inlineStr">
        <is>
          <t>Audit de conformité + épreuve anticipée</t>
        </is>
      </c>
      <c r="D7" s="21" t="inlineStr">
        <is>
          <t>BO n°14 du 02/04/2026 (NOR MENE2602917A) ; note du 11/09/2026 (NOR MENE2622640N)</t>
        </is>
      </c>
      <c r="E7" s="20" t="inlineStr">
        <is>
          <t>Rentrée 2026 (bac 2028)</t>
        </is>
      </c>
      <c r="F7" s="24" t="n">
        <v>46318</v>
      </c>
      <c r="G7" s="23" t="n">
        <v>317</v>
      </c>
      <c r="H7" s="23" t="n">
        <v>319</v>
      </c>
      <c r="I7" s="27">
        <f>H7-G7</f>
        <v/>
      </c>
      <c r="J7" s="21" t="inlineStr">
        <is>
          <t>Sujets blancs refaits au format officiel (2 h, sans calculatrice, 6 + 14 points) ; guide de l’épreuve complété</t>
        </is>
      </c>
      <c r="K7" s="21" t="inlineStr">
        <is>
          <t>livre-premiere/</t>
        </is>
      </c>
      <c r="L7" s="21" t="inlineStr">
        <is>
          <t>OptiTAB - Mathématiques - Première spécialité - Manuel complet.pdf</t>
        </is>
      </c>
      <c r="M7" s="21" t="inlineStr">
        <is>
          <t>optitab-premiere-complet-avant-audit-2026-10-23.pdf</t>
        </is>
      </c>
    </row>
    <row r="8" ht="39.6" customHeight="1" s="32">
      <c r="A8" s="20" t="n">
        <v>4</v>
      </c>
      <c r="B8" s="21" t="inlineStr">
        <is>
          <t>Quatrième (4e)</t>
        </is>
      </c>
      <c r="C8" s="28" t="inlineStr">
        <is>
          <t>Nouvelle édition</t>
        </is>
      </c>
      <c r="D8" s="21" t="inlineStr">
        <is>
          <t>Programme cycle 4 2026 (BO n°10 du 05/03/2026)</t>
        </is>
      </c>
      <c r="E8" s="20" t="inlineStr">
        <is>
          <t>Rentrée 2027</t>
        </is>
      </c>
      <c r="F8" s="24" t="n">
        <v>46318</v>
      </c>
      <c r="G8" s="23" t="n">
        <v>315</v>
      </c>
      <c r="H8" s="23" t="n">
        <v>319</v>
      </c>
      <c r="I8" s="27">
        <f>H8-G8</f>
        <v/>
      </c>
      <c r="J8" s="21" t="inlineStr">
        <is>
          <t>3 nouveaux chapitres (droites remarquables, droite des milieux, triangle rectangle et cercle) ; Thalès, cosinus, puissances négatives passent en 3e</t>
        </is>
      </c>
      <c r="K8" s="21" t="inlineStr">
        <is>
          <t>livre-quatrieme-2027/</t>
        </is>
      </c>
      <c r="L8" s="21" t="inlineStr">
        <is>
          <t>OptiTAB - Mathématiques - Quatrième (4e) - Programme 2027 - Manuel complet.pdf</t>
        </is>
      </c>
      <c r="M8" s="21" t="inlineStr">
        <is>
          <t>Édition 2026-2027 conservée</t>
        </is>
      </c>
    </row>
    <row r="9" ht="39.6" customHeight="1" s="32">
      <c r="A9" s="20" t="n">
        <v>5</v>
      </c>
      <c r="B9" s="21" t="inlineStr">
        <is>
          <t>Troisième (3e)</t>
        </is>
      </c>
      <c r="C9" s="28" t="inlineStr">
        <is>
          <t>Nouvelle édition</t>
        </is>
      </c>
      <c r="D9" s="21" t="inlineStr">
        <is>
          <t>Programme cycle 4 2026 (BO n°10 du 05/03/2026) ; brevet : note du 11/09/2026</t>
        </is>
      </c>
      <c r="E9" s="20" t="inlineStr">
        <is>
          <t>Rentrée 2028 (brevet 2029)</t>
        </is>
      </c>
      <c r="F9" s="24" t="n">
        <v>46318</v>
      </c>
      <c r="G9" s="23" t="n">
        <v>313</v>
      </c>
      <c r="H9" s="23" t="n">
        <v>316</v>
      </c>
      <c r="I9" s="27">
        <f>H9-G9</f>
        <v/>
      </c>
      <c r="J9" s="21" t="inlineStr">
        <is>
          <t>Nouveau chapitre « Translations et vecteurs », 74 exercices nouveaux, 2 brevets blancs refaits ; homothéties et triangles semblables retirés</t>
        </is>
      </c>
      <c r="K9" s="21" t="inlineStr">
        <is>
          <t>livre-troisieme-2028/</t>
        </is>
      </c>
      <c r="L9" s="21" t="inlineStr">
        <is>
          <t>OptiTAB - Mathématiques - Troisième (3e) - Programme 2028 - Brevet 2029 - Manuel complet.pdf</t>
        </is>
      </c>
      <c r="M9" s="21" t="inlineStr">
        <is>
          <t>Édition 2026-2027 conservée</t>
        </is>
      </c>
    </row>
    <row r="10" ht="39.6" customHeight="1" s="32">
      <c r="A10" s="20" t="n">
        <v>6</v>
      </c>
      <c r="B10" s="21" t="inlineStr">
        <is>
          <t>Terminale spécialité</t>
        </is>
      </c>
      <c r="C10" s="28" t="inlineStr">
        <is>
          <t>Nouvelle édition</t>
        </is>
      </c>
      <c r="D10" s="21" t="inlineStr">
        <is>
          <t>BO n°14 du 02/04/2026 (NOR MENE2602919A) ; épreuve : NOR MENE2622642N</t>
        </is>
      </c>
      <c r="E10" s="20" t="inlineStr">
        <is>
          <t>Rentrée 2027 (bac 2028)</t>
        </is>
      </c>
      <c r="F10" s="24" t="n">
        <v>46318</v>
      </c>
      <c r="G10" s="23" t="n">
        <v>374</v>
      </c>
      <c r="H10" s="23" t="n">
        <v>398</v>
      </c>
      <c r="I10" s="27">
        <f>H10-G10</f>
        <v/>
      </c>
      <c r="J10" s="21" t="inlineStr">
        <is>
          <t>23 chapitres : sinus et cosinus, plans perpendiculaires, nouveau chapitre « Ensembles, logique et raisonnement » ; 2 points de langue au bac</t>
        </is>
      </c>
      <c r="K10" s="21" t="inlineStr">
        <is>
          <t>livre-terminale-2027/</t>
        </is>
      </c>
      <c r="L10" s="21" t="inlineStr">
        <is>
          <t>OptiTAB - Mathématiques - Terminale spécialité - Programme 2027 - Manuel complet.pdf</t>
        </is>
      </c>
      <c r="M10" s="21" t="inlineStr">
        <is>
          <t>Édition 2026-2027 conservée</t>
        </is>
      </c>
    </row>
    <row r="11" ht="26.4" customHeight="1" s="32">
      <c r="A11" s="20" t="n">
        <v>7</v>
      </c>
      <c r="B11" s="21" t="inlineStr">
        <is>
          <t>Troisième (3e) - Brevet 2027</t>
        </is>
      </c>
      <c r="C11" s="29" t="inlineStr">
        <is>
          <t>Correctif</t>
        </is>
      </c>
      <c r="D11" s="21" t="inlineStr">
        <is>
          <t>—</t>
        </is>
      </c>
      <c r="E11" s="20" t="inlineStr">
        <is>
          <t>—</t>
        </is>
      </c>
      <c r="F11" s="24" t="n">
        <v>46318</v>
      </c>
      <c r="G11" s="23" t="n">
        <v>313</v>
      </c>
      <c r="H11" s="23" t="n">
        <v>313</v>
      </c>
      <c r="I11" s="27">
        <f>H11-G11</f>
        <v/>
      </c>
      <c r="J11" s="21" t="inlineStr">
        <is>
          <t>15 signes % qui coupaient des énoncés et corrigés au chapitre 6 ; garde-fou ajouté à la fabrication</t>
        </is>
      </c>
      <c r="K11" s="21" t="inlineStr">
        <is>
          <t>livre-troisieme/</t>
        </is>
      </c>
      <c r="L11" s="21" t="inlineStr">
        <is>
          <t>OptiTAB - Mathématiques - Troisième (3e) - Brevet 2027 - Manuel complet.pdf</t>
        </is>
      </c>
      <c r="M11" s="21" t="inlineStr">
        <is>
          <t>optitab-troisieme-brevet-avant-correctif-2026-10-23.pdf</t>
        </is>
      </c>
    </row>
  </sheetData>
  <autoFilter ref="A4:M11"/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tabColor rgb="FFF0A23B"/>
    <outlinePr summaryBelow="1" summaryRight="1"/>
    <pageSetUpPr fitToPage="1"/>
  </sheetPr>
  <dimension ref="A1:G2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5" customWidth="1" style="32" min="1" max="1"/>
    <col width="30" customWidth="1" style="32" min="2" max="2"/>
    <col width="60" customWidth="1" style="32" min="3" max="3"/>
    <col width="46" customWidth="1" style="32" min="4" max="4"/>
    <col width="10" customWidth="1" style="32" min="5" max="5"/>
    <col width="40" customWidth="1" style="32" min="6" max="6"/>
    <col width="13" customWidth="1" style="32" min="7" max="7"/>
  </cols>
  <sheetData>
    <row r="1" ht="25.95" customHeight="1" s="32">
      <c r="A1" s="1" t="inlineStr">
        <is>
          <t>Décisions en attente</t>
        </is>
      </c>
    </row>
    <row r="2">
      <c r="A2" s="2" t="inlineStr">
        <is>
          <t>Colonnes jaunes à remplir : votre réponse, puis passez le statut à « Réglé ».</t>
        </is>
      </c>
    </row>
    <row r="3"/>
    <row r="4" ht="31.95" customHeight="1" s="32">
      <c r="A4" s="3" t="inlineStr">
        <is>
          <t>N°</t>
        </is>
      </c>
      <c r="B4" s="3" t="inlineStr">
        <is>
          <t>Livre</t>
        </is>
      </c>
      <c r="C4" s="3" t="inlineStr">
        <is>
          <t>Question</t>
        </is>
      </c>
      <c r="D4" s="3" t="inlineStr">
        <is>
          <t>Situation actuelle</t>
        </is>
      </c>
      <c r="E4" s="3" t="inlineStr">
        <is>
          <t>Priorité</t>
        </is>
      </c>
      <c r="F4" s="3" t="inlineStr">
        <is>
          <t>Votre réponse</t>
        </is>
      </c>
      <c r="G4" s="3" t="inlineStr">
        <is>
          <t>Statut</t>
        </is>
      </c>
    </row>
    <row r="5" ht="26.4" customHeight="1" s="32">
      <c r="A5" s="20" t="n">
        <v>1</v>
      </c>
      <c r="B5" s="21" t="inlineStr">
        <is>
          <t>Physique-chimie Terminale</t>
        </is>
      </c>
      <c r="C5" s="21" t="inlineStr">
        <is>
          <t>Finir la livraison : copier le PDF final (703 pages) dans output et sur le Bureau ?</t>
        </is>
      </c>
      <c r="D5" s="21" t="inlineStr">
        <is>
          <t>Fait le 23/10/2026 : PDF final (701 pages) livré dans output et sur le Bureau</t>
        </is>
      </c>
      <c r="E5" s="20" t="inlineStr">
        <is>
          <t>Haute</t>
        </is>
      </c>
      <c r="F5" s="30" t="n"/>
      <c r="G5" s="22" t="inlineStr">
        <is>
          <t>Réglé</t>
        </is>
      </c>
    </row>
    <row r="6">
      <c r="A6" s="20" t="n">
        <v>2</v>
      </c>
      <c r="B6" s="21" t="inlineStr">
        <is>
          <t>Terminale spécialité</t>
        </is>
      </c>
      <c r="C6" s="21" t="inlineStr">
        <is>
          <t>ISBN et dépôt légal de l’édition 2026-2027</t>
        </is>
      </c>
      <c r="D6" s="21" t="inlineStr">
        <is>
          <t>Page ISBN/éditeur à compléter (aucun ISBN inventé)</t>
        </is>
      </c>
      <c r="E6" s="20" t="inlineStr">
        <is>
          <t>Moyenne</t>
        </is>
      </c>
      <c r="F6" s="30" t="n"/>
      <c r="G6" s="22" t="inlineStr">
        <is>
          <t>À trancher</t>
        </is>
      </c>
    </row>
    <row r="7" ht="26.4" customHeight="1" s="32">
      <c r="A7" s="20" t="n">
        <v>3</v>
      </c>
      <c r="B7" s="21" t="inlineStr">
        <is>
          <t>Terminale spécialité — édition 2027</t>
        </is>
      </c>
      <c r="C7" s="21" t="inlineStr">
        <is>
          <t>Nouvel ISBN pour l’édition 2027-2028</t>
        </is>
      </c>
      <c r="D7" s="21" t="inlineStr">
        <is>
          <t>À fournir</t>
        </is>
      </c>
      <c r="E7" s="20" t="inlineStr">
        <is>
          <t>Moyenne</t>
        </is>
      </c>
      <c r="F7" s="30" t="n"/>
      <c r="G7" s="22" t="inlineStr">
        <is>
          <t>À trancher</t>
        </is>
      </c>
    </row>
    <row r="8" ht="26.4" customHeight="1" s="32">
      <c r="A8" s="20" t="n">
        <v>4</v>
      </c>
      <c r="B8" s="21" t="inlineStr">
        <is>
          <t>Terminale spécialité — édition 2027</t>
        </is>
      </c>
      <c r="C8" s="21" t="inlineStr">
        <is>
          <t>Barème des sujets : 18 points d’exercices + 2 points de langue ?</t>
        </is>
      </c>
      <c r="D8" s="21" t="inlineStr">
        <is>
          <t>Choix OptiTAB, présenté comme tel dans le livre</t>
        </is>
      </c>
      <c r="E8" s="20" t="inlineStr">
        <is>
          <t>Basse</t>
        </is>
      </c>
      <c r="F8" s="30" t="n"/>
      <c r="G8" s="22" t="inlineStr">
        <is>
          <t>À trancher</t>
        </is>
      </c>
    </row>
    <row r="9" ht="26.4" customHeight="1" s="32">
      <c r="A9" s="20" t="n">
        <v>5</v>
      </c>
      <c r="B9" s="21" t="inlineStr">
        <is>
          <t>Première spécialité</t>
        </is>
      </c>
      <c r="C9" s="21" t="inlineStr">
        <is>
          <t>Barème détaillé des sujets blancs (0,5 point par automatisme, 7 points par exercice)</t>
        </is>
      </c>
      <c r="D9" s="21" t="inlineStr">
        <is>
          <t>Choix pédagogique ; l’officiel fixe seulement 6 + 14 points</t>
        </is>
      </c>
      <c r="E9" s="20" t="inlineStr">
        <is>
          <t>Basse</t>
        </is>
      </c>
      <c r="F9" s="30" t="n"/>
      <c r="G9" s="22" t="inlineStr">
        <is>
          <t>À trancher</t>
        </is>
      </c>
    </row>
    <row r="10" ht="26.4" customHeight="1" s="32">
      <c r="A10" s="20" t="n">
        <v>6</v>
      </c>
      <c r="B10" s="21" t="inlineStr">
        <is>
          <t>Troisième — édition 2028</t>
        </is>
      </c>
      <c r="C10" s="21" t="inlineStr">
        <is>
          <t>Format du brevet 2029</t>
        </is>
      </c>
      <c r="D10" s="21" t="inlineStr">
        <is>
          <t>Format en vigueur depuis 2027 retenu ; à revérifier quand le texte 2029 paraîtra</t>
        </is>
      </c>
      <c r="E10" s="20" t="inlineStr">
        <is>
          <t>Moyenne</t>
        </is>
      </c>
      <c r="F10" s="30" t="n"/>
      <c r="G10" s="22" t="inlineStr">
        <is>
          <t>À trancher</t>
        </is>
      </c>
    </row>
    <row r="11" ht="26.4" customHeight="1" s="32">
      <c r="A11" s="20" t="n">
        <v>7</v>
      </c>
      <c r="B11" s="21" t="inlineStr">
        <is>
          <t>Troisième — édition 2028</t>
        </is>
      </c>
      <c r="C11" s="21" t="inlineStr">
        <is>
          <t>Barème des brevets blancs (12 automatismes à 0,5 point, 4 problèmes à 3,5 points)</t>
        </is>
      </c>
      <c r="D11" s="21" t="inlineStr">
        <is>
          <t>Choix éditorial</t>
        </is>
      </c>
      <c r="E11" s="20" t="inlineStr">
        <is>
          <t>Basse</t>
        </is>
      </c>
      <c r="F11" s="30" t="n"/>
      <c r="G11" s="22" t="inlineStr">
        <is>
          <t>À trancher</t>
        </is>
      </c>
    </row>
    <row r="12" ht="26.4" customHeight="1" s="32">
      <c r="A12" s="20" t="n">
        <v>8</v>
      </c>
      <c r="B12" s="21" t="inlineStr">
        <is>
          <t>Troisième — édition 2028</t>
        </is>
      </c>
      <c r="C12" s="21" t="inlineStr">
        <is>
          <t>Chapitre 7 « Grandeurs quotients et conversions » (notions de 4e) : garder en révision ?</t>
        </is>
      </c>
      <c r="D12" s="21" t="inlineStr">
        <is>
          <t>Gardé et signalé comme révision</t>
        </is>
      </c>
      <c r="E12" s="20" t="inlineStr">
        <is>
          <t>Basse</t>
        </is>
      </c>
      <c r="F12" s="30" t="n"/>
      <c r="G12" s="22" t="inlineStr">
        <is>
          <t>À trancher</t>
        </is>
      </c>
    </row>
    <row r="13" ht="26.4" customHeight="1" s="32">
      <c r="A13" s="20" t="n">
        <v>9</v>
      </c>
      <c r="B13" s="21" t="inlineStr">
        <is>
          <t>Quatrième — édition 2027</t>
        </is>
      </c>
      <c r="C13" s="21" t="inlineStr">
        <is>
          <t>Cas d’égalité des triangles et agrandissements-réductions : remettre en option « pour aller plus loin » ?</t>
        </is>
      </c>
      <c r="D13" s="21" t="inlineStr">
        <is>
          <t>Retirés entièrement</t>
        </is>
      </c>
      <c r="E13" s="20" t="inlineStr">
        <is>
          <t>Basse</t>
        </is>
      </c>
      <c r="F13" s="30" t="n"/>
      <c r="G13" s="22" t="inlineStr">
        <is>
          <t>À trancher</t>
        </is>
      </c>
    </row>
    <row r="14">
      <c r="A14" s="20" t="n">
        <v>10</v>
      </c>
      <c r="B14" s="21" t="inlineStr">
        <is>
          <t>Quatrième — édition 2027</t>
        </is>
      </c>
      <c r="C14" s="21" t="inlineStr">
        <is>
          <t>Notation de l’évènement contraire</t>
        </is>
      </c>
      <c r="D14" s="21" t="inlineStr">
        <is>
          <t>Ā (le programme n’impose pas de notation)</t>
        </is>
      </c>
      <c r="E14" s="20" t="inlineStr">
        <is>
          <t>Basse</t>
        </is>
      </c>
      <c r="F14" s="30" t="n"/>
      <c r="G14" s="22" t="inlineStr">
        <is>
          <t>À trancher</t>
        </is>
      </c>
    </row>
    <row r="15" ht="26.4" customHeight="1" s="32">
      <c r="A15" s="20" t="n">
        <v>11</v>
      </c>
      <c r="B15" s="21" t="inlineStr">
        <is>
          <t>Quatrième — édition 2027</t>
        </is>
      </c>
      <c r="C15" s="21" t="inlineStr">
        <is>
          <t>Médiane d’une série d’effectif pair</t>
        </is>
      </c>
      <c r="D15" s="21" t="inlineStr">
        <is>
          <t>Toute valeur entre les deux valeurs centrales, on retient leur moyenne</t>
        </is>
      </c>
      <c r="E15" s="20" t="inlineStr">
        <is>
          <t>Basse</t>
        </is>
      </c>
      <c r="F15" s="30" t="n"/>
      <c r="G15" s="22" t="inlineStr">
        <is>
          <t>À trancher</t>
        </is>
      </c>
    </row>
    <row r="16" ht="26.4" customHeight="1" s="32">
      <c r="A16" s="20" t="n">
        <v>12</v>
      </c>
      <c r="B16" s="21" t="inlineStr">
        <is>
          <t>Cinquième (5e)</t>
        </is>
      </c>
      <c r="C16" s="21" t="inlineStr">
        <is>
          <t>Ajouter de courts encadrés historiques (Brahmagupta, Al-Khwarizmi, Nightingale…) ?</t>
        </is>
      </c>
      <c r="D16" s="21" t="inlineStr">
        <is>
          <t>Non traités (prolongements facultatifs du programme)</t>
        </is>
      </c>
      <c r="E16" s="20" t="inlineStr">
        <is>
          <t>Basse</t>
        </is>
      </c>
      <c r="F16" s="30" t="n"/>
      <c r="G16" s="22" t="inlineStr">
        <is>
          <t>À trancher</t>
        </is>
      </c>
    </row>
    <row r="17" ht="26.4" customHeight="1" s="32">
      <c r="A17" s="20" t="n">
        <v>13</v>
      </c>
      <c r="B17" s="21" t="inlineStr">
        <is>
          <t>Cinquième (5e)</t>
        </is>
      </c>
      <c r="C17" s="21" t="inlineStr">
        <is>
          <t>Axes de symétrie dessinés en vert au chapitre 15 (le vert signale les réponses ailleurs)</t>
        </is>
      </c>
      <c r="D17" s="21" t="inlineStr">
        <is>
          <t>Inchangé</t>
        </is>
      </c>
      <c r="E17" s="20" t="inlineStr">
        <is>
          <t>Basse</t>
        </is>
      </c>
      <c r="F17" s="30" t="n"/>
      <c r="G17" s="22" t="inlineStr">
        <is>
          <t>À trancher</t>
        </is>
      </c>
    </row>
    <row r="18">
      <c r="A18" s="20" t="n">
        <v>14</v>
      </c>
      <c r="B18" s="21" t="inlineStr">
        <is>
          <t>Seconde</t>
        </is>
      </c>
      <c r="C18" s="21" t="inlineStr">
        <is>
          <t>Mentionner les questions flash sur les couvertures ?</t>
        </is>
      </c>
      <c r="D18" s="21" t="inlineStr">
        <is>
          <t>Couvertures inchangées</t>
        </is>
      </c>
      <c r="E18" s="20" t="inlineStr">
        <is>
          <t>Basse</t>
        </is>
      </c>
      <c r="F18" s="30" t="n"/>
      <c r="G18" s="22" t="inlineStr">
        <is>
          <t>À trancher</t>
        </is>
      </c>
    </row>
    <row r="19" s="32">
      <c r="A19" s="20" t="n">
        <v>15</v>
      </c>
      <c r="B19" s="21" t="inlineStr">
        <is>
          <t>Seconde</t>
        </is>
      </c>
      <c r="C19" s="21" t="inlineStr">
        <is>
          <t>Notation des intervalles : [a ; b] (livre) ou [a, b] (programme) ?</t>
        </is>
      </c>
      <c r="D19" s="21" t="inlineStr">
        <is>
          <t>[a ; b], avec une remarque sur l’autre écriture</t>
        </is>
      </c>
      <c r="E19" s="20" t="inlineStr">
        <is>
          <t>Basse</t>
        </is>
      </c>
      <c r="F19" s="30" t="n"/>
      <c r="G19" s="22" t="inlineStr">
        <is>
          <t>À trancher</t>
        </is>
      </c>
    </row>
    <row r="20" s="32">
      <c r="A20" s="20" t="n">
        <v>16</v>
      </c>
      <c r="B20" s="21" t="inlineStr">
        <is>
          <t>Anglais — Tome 1 « Premiers pas »</t>
        </is>
      </c>
      <c r="C20" s="21" t="inlineStr">
        <is>
          <t>Valider le gabarit, le plan des 20 unités et l’unité 1 avant d’écrire la suite</t>
        </is>
      </c>
      <c r="D20" s="21" t="inlineStr">
        <is>
          <t>Validé par vous le 25/10/2026 (« parfait, je te laisse finir le tome 1 ») ; tome 1 terminé et livré le même jour (458 pages, PDF dans output et sur le Bureau)</t>
        </is>
      </c>
      <c r="E20" s="20" t="inlineStr">
        <is>
          <t>Haute</t>
        </is>
      </c>
      <c r="F20" s="30" t="n"/>
      <c r="G20" s="22" t="inlineStr">
        <is>
          <t>Réglé</t>
        </is>
      </c>
    </row>
    <row r="21" s="32">
      <c r="A21" s="20" t="n">
        <v>17</v>
      </c>
      <c r="B21" s="21" t="inlineStr">
        <is>
          <t>Anglais — Tome 1 « Premiers pas »</t>
        </is>
      </c>
      <c r="C21" s="21" t="inlineStr">
        <is>
          <t>Mettre les audios en ligne sur optitab.net/audio/anglais/t1 (sinon les QR codes ne mènent nulle part)</t>
        </is>
      </c>
      <c r="D21" s="21" t="inlineStr">
        <is>
          <t>Fichiers prêts : livre-anglais/tome-1/audio/en-ligne (272 pistes MP3 + 27 pages d’écoute, 113 Mo) ; copie sur le Bureau</t>
        </is>
      </c>
      <c r="E21" s="20" t="inlineStr">
        <is>
          <t>Haute</t>
        </is>
      </c>
      <c r="F21" s="30" t="n"/>
      <c r="G21" s="22" t="inlineStr">
        <is>
          <t>À trancher</t>
        </is>
      </c>
    </row>
    <row r="22" s="32">
      <c r="A22" s="20" t="n">
        <v>18</v>
      </c>
      <c r="B22" s="21" t="inlineStr">
        <is>
          <t>Anglais — Tome 1 « Premiers pas »</t>
        </is>
      </c>
      <c r="C22" s="21" t="inlineStr">
        <is>
          <t>Accent de référence : américain ou britannique ?</t>
        </is>
      </c>
      <c r="D22" s="21" t="inlineStr">
        <is>
          <t>Américain (voix les plus naturelles), avec Emma à l’accent britannique</t>
        </is>
      </c>
      <c r="E22" s="20" t="inlineStr">
        <is>
          <t>Moyenne</t>
        </is>
      </c>
      <c r="F22" s="30" t="n"/>
      <c r="G22" s="22" t="inlineStr">
        <is>
          <t>À trancher</t>
        </is>
      </c>
    </row>
    <row r="23" s="32">
      <c r="A23" s="20" t="n">
        <v>19</v>
      </c>
      <c r="B23" s="21" t="inlineStr">
        <is>
          <t>Anglais — Tome 1 « Premiers pas »</t>
        </is>
      </c>
      <c r="C23" s="21" t="inlineStr">
        <is>
          <t>ISBN, dépôt légal et prix de vente</t>
        </is>
      </c>
      <c r="D23" s="21" t="inlineStr">
        <is>
          <t>« À paraître » sur la page de titre et en 4e de couverture</t>
        </is>
      </c>
      <c r="E23" s="20" t="inlineStr">
        <is>
          <t>Moyenne</t>
        </is>
      </c>
      <c r="F23" s="30" t="n"/>
      <c r="G23" s="22" t="inlineStr">
        <is>
          <t>À trancher</t>
        </is>
      </c>
    </row>
    <row r="24" s="32">
      <c r="A24" s="20" t="n">
        <v>20</v>
      </c>
      <c r="B24" s="21" t="inlineStr">
        <is>
          <t>Python — Volume 1 « First Steps »</t>
        </is>
      </c>
      <c r="C24" s="21" t="inlineStr">
        <is>
          <t>Valider le gabarit, le plan des 20 chapitres et les chapitres 1 à 3 avant d’écrire la suite</t>
        </is>
      </c>
      <c r="D24" s="21" t="inlineStr">
        <is>
          <t>PDF de validation sur le Bureau : « OptiTAB - Python - Volume 1 (chapitres 1 à 3 pour validation).pdf » (96 pages)</t>
        </is>
      </c>
      <c r="E24" s="20" t="inlineStr">
        <is>
          <t>Haute</t>
        </is>
      </c>
      <c r="F24" s="30" t="n"/>
      <c r="G24" s="22" t="inlineStr">
        <is>
          <t>À trancher</t>
        </is>
      </c>
    </row>
    <row r="25" s="32">
      <c r="A25" s="20" t="n">
        <v>21</v>
      </c>
      <c r="B25" s="21" t="inlineStr">
        <is>
          <t>Python — Volume 1 « First Steps »</t>
        </is>
      </c>
      <c r="C25" s="21" t="inlineStr">
        <is>
          <t>Mettre en ligne les fichiers de code sur optitab.net/python/t1 (sinon les QR codes ne mènent nulle part)</t>
        </is>
      </c>
      <c r="D25" s="21" t="inlineStr">
        <is>
          <t>Fichiers prêts au fil de l’écriture dans livre-python/tome-1/code (programmes des chapitres et solutions)</t>
        </is>
      </c>
      <c r="E25" s="20" t="inlineStr">
        <is>
          <t>Moyenne</t>
        </is>
      </c>
      <c r="F25" s="30" t="n"/>
      <c r="G25" s="22" t="inlineStr">
        <is>
          <t>À trancher</t>
        </is>
      </c>
    </row>
    <row r="26" s="32">
      <c r="A26" s="20" t="n">
        <v>22</v>
      </c>
      <c r="B26" s="21" t="inlineStr">
        <is>
          <t>Python — Volume 1 « First Steps »</t>
        </is>
      </c>
      <c r="C26" s="21" t="inlineStr">
        <is>
          <t>ISBN, dépôt légal et prix de vente du volume 1 Python</t>
        </is>
      </c>
      <c r="D26" s="21" t="inlineStr">
        <is>
          <t>« Forthcoming » sur la page de titre et en 4e de couverture</t>
        </is>
      </c>
      <c r="E26" s="20" t="inlineStr">
        <is>
          <t>Moyenne</t>
        </is>
      </c>
      <c r="F26" s="30" t="n"/>
      <c r="G26" s="22" t="inlineStr">
        <is>
          <t>À trancher</t>
        </is>
      </c>
    </row>
  </sheetData>
  <autoFilter ref="A4:G19"/>
  <conditionalFormatting sqref="E5:E19">
    <cfRule type="cellIs" priority="1" operator="equal" dxfId="3">
      <formula>"Haute"</formula>
    </cfRule>
    <cfRule type="cellIs" priority="2" operator="equal" dxfId="2">
      <formula>"Moyenne"</formula>
    </cfRule>
    <cfRule type="cellIs" priority="3" operator="equal" dxfId="1">
      <formula>"Basse"</formula>
    </cfRule>
  </conditionalFormatting>
  <conditionalFormatting sqref="G5:G19">
    <cfRule type="cellIs" priority="4" operator="equal" dxfId="0">
      <formula>"Réglé"</formula>
    </cfRule>
  </conditionalFormatting>
  <dataValidations count="2">
    <dataValidation sqref="G5:G49" showDropDown="0" showInputMessage="0" showErrorMessage="0" allowBlank="0" type="list">
      <formula1>"À trancher,Réglé"</formula1>
    </dataValidation>
    <dataValidation sqref="E5:E49" showDropDown="0" showInputMessage="0" showErrorMessage="0" allowBlank="0" type="list">
      <formula1>"Haute,Moyenne,Basse"</formula1>
    </dataValidation>
  </dataValidation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tabColor rgb="FF9AA3B2"/>
    <outlinePr summaryBelow="1" summaryRight="1"/>
    <pageSetUpPr fitToPage="1"/>
  </sheetPr>
  <dimension ref="A1:E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26" customWidth="1" style="32" min="1" max="1"/>
    <col width="40" customWidth="1" style="32" min="2" max="2"/>
    <col width="62" customWidth="1" style="32" min="3" max="3"/>
    <col width="26" customWidth="1" style="32" min="4" max="4"/>
    <col width="52" customWidth="1" style="32" min="5" max="5"/>
  </cols>
  <sheetData>
    <row r="1" ht="25.95" customHeight="1" s="32">
      <c r="A1" s="1" t="inlineStr">
        <is>
          <t>Programmes officiels de référence</t>
        </is>
      </c>
    </row>
    <row r="2">
      <c r="A2" s="2" t="inlineStr">
        <is>
          <t>Textes vérifiés sur education.gouv.fr et eduscol.education.gouv.fr (octobre 2026).</t>
        </is>
      </c>
    </row>
    <row r="3"/>
    <row r="4" ht="31.95" customHeight="1" s="32">
      <c r="A4" s="3" t="inlineStr">
        <is>
          <t>Niveau</t>
        </is>
      </c>
      <c r="B4" s="3" t="inlineStr">
        <is>
          <t>Texte</t>
        </is>
      </c>
      <c r="C4" s="3" t="inlineStr">
        <is>
          <t>Référence</t>
        </is>
      </c>
      <c r="D4" s="3" t="inlineStr">
        <is>
          <t>Application</t>
        </is>
      </c>
      <c r="E4" s="3" t="inlineStr">
        <is>
          <t>Livres OptiTAB</t>
        </is>
      </c>
    </row>
    <row r="5">
      <c r="A5" s="21" t="inlineStr">
        <is>
          <t>Maternelle (PS, MS, GS)</t>
        </is>
      </c>
      <c r="B5" s="21" t="inlineStr">
        <is>
          <t>Programme de l’école maternelle</t>
        </is>
      </c>
      <c r="C5" s="21" t="inlineStr">
        <is>
          <t>BO n°41 du 31/10/2024 ; version consolidée BO n°19 du 07/05/2026</t>
        </is>
      </c>
      <c r="D5" s="21" t="inlineStr">
        <is>
          <t>Rentrée 2025</t>
        </is>
      </c>
      <c r="E5" s="21" t="inlineStr">
        <is>
          <t>Cahiers PS, MS, GS alignés</t>
        </is>
      </c>
    </row>
    <row r="6">
      <c r="A6" s="21" t="inlineStr">
        <is>
          <t>Cycle 2 (CP, CE1, CE2)</t>
        </is>
      </c>
      <c r="B6" s="21" t="inlineStr">
        <is>
          <t>Programme du cycle 2</t>
        </is>
      </c>
      <c r="C6" s="21" t="inlineStr">
        <is>
          <t>BO du 31/10/2024</t>
        </is>
      </c>
      <c r="D6" s="21" t="inlineStr">
        <is>
          <t>Rentrée 2025</t>
        </is>
      </c>
      <c r="E6" s="21" t="inlineStr">
        <is>
          <t>Livres CP, CE1, CE2 alignés</t>
        </is>
      </c>
    </row>
    <row r="7" ht="26.4" customHeight="1" s="32">
      <c r="A7" s="21" t="inlineStr">
        <is>
          <t>CM1, CM2</t>
        </is>
      </c>
      <c r="B7" s="21" t="inlineStr">
        <is>
          <t>Programmes 2025</t>
        </is>
      </c>
      <c r="C7" s="21" t="inlineStr">
        <is>
          <t>Arrêté du 10/04/2025, BO n°16 du 17/04/2025</t>
        </is>
      </c>
      <c r="D7" s="21" t="inlineStr">
        <is>
          <t>CM1 : rentrée 2025 ; CM2 : rentrée 2026</t>
        </is>
      </c>
      <c r="E7" s="21" t="inlineStr">
        <is>
          <t>Livres CM1 et CM2 alignés</t>
        </is>
      </c>
    </row>
    <row r="8">
      <c r="A8" s="21" t="inlineStr">
        <is>
          <t>Sixième</t>
        </is>
      </c>
      <c r="B8" s="21" t="inlineStr">
        <is>
          <t>Programme 2025 du cycle 3</t>
        </is>
      </c>
      <c r="C8" s="21" t="inlineStr">
        <is>
          <t>BO n°16 du 17/04/2025</t>
        </is>
      </c>
      <c r="D8" s="21" t="inlineStr">
        <is>
          <t>Rentrée 2025</t>
        </is>
      </c>
      <c r="E8" s="21" t="inlineStr">
        <is>
          <t>Livre de 6e aligné</t>
        </is>
      </c>
    </row>
    <row r="9" ht="26.4" customHeight="1" s="32">
      <c r="A9" s="21" t="inlineStr">
        <is>
          <t>Cycle 4 (5e, 4e, 3e)</t>
        </is>
      </c>
      <c r="B9" s="21" t="inlineStr">
        <is>
          <t>Programme de mathématiques du cycle 4</t>
        </is>
      </c>
      <c r="C9" s="21" t="inlineStr">
        <is>
          <t>Arrêté du 18/02/2026, BO n°10 du 05/03/2026</t>
        </is>
      </c>
      <c r="D9" s="21" t="inlineStr">
        <is>
          <t>5e : 2026 ; 4e : 2027 ; 3e : 2028</t>
        </is>
      </c>
      <c r="E9" s="21" t="inlineStr">
        <is>
          <t>5e auditée ; éditions 4e 2027 et 3e 2028 livrées</t>
        </is>
      </c>
    </row>
    <row r="10" ht="26.4" customHeight="1" s="32">
      <c r="A10" s="21" t="inlineStr">
        <is>
          <t>Brevet (DNB)</t>
        </is>
      </c>
      <c r="B10" s="21" t="inlineStr">
        <is>
          <t>Définition des épreuves</t>
        </is>
      </c>
      <c r="C10" s="21" t="inlineStr">
        <is>
          <t>Note de service du 11/09/2026 (NOR MENE2623228N), BO spécial n°4 du 17/09/2026</t>
        </is>
      </c>
      <c r="D10" s="21" t="inlineStr">
        <is>
          <t>Session 2027</t>
        </is>
      </c>
      <c r="E10" s="21" t="inlineStr">
        <is>
          <t>3e actuelle ; la 3e 2028 suit ce format en attendant un texte pour 2029</t>
        </is>
      </c>
    </row>
    <row r="11" ht="26.4" customHeight="1" s="32">
      <c r="A11" s="21" t="inlineStr">
        <is>
          <t>Seconde</t>
        </is>
      </c>
      <c r="B11" s="21" t="inlineStr">
        <is>
          <t>Programme de Seconde générale et technologique</t>
        </is>
      </c>
      <c r="C11" s="21" t="inlineStr">
        <is>
          <t>BO n°14 du 02/04/2026 (NOR MENE2602914A)</t>
        </is>
      </c>
      <c r="D11" s="21" t="inlineStr">
        <is>
          <t>Rentrée 2026</t>
        </is>
      </c>
      <c r="E11" s="21" t="inlineStr">
        <is>
          <t>Livre audité et relivré</t>
        </is>
      </c>
    </row>
    <row r="12" ht="26.4" customHeight="1" s="32">
      <c r="A12" s="21" t="inlineStr">
        <is>
          <t>Première spécialité</t>
        </is>
      </c>
      <c r="B12" s="21" t="inlineStr">
        <is>
          <t>Programme de spécialité + épreuve anticipée</t>
        </is>
      </c>
      <c r="C12" s="21" t="inlineStr">
        <is>
          <t>BO n°14 du 02/04/2026 (NOR MENE2602917A) ; note du 11/09/2026 (NOR MENE2622640N)</t>
        </is>
      </c>
      <c r="D12" s="21" t="inlineStr">
        <is>
          <t>Rentrée 2026 ; bac 2028</t>
        </is>
      </c>
      <c r="E12" s="21" t="inlineStr">
        <is>
          <t>Livre audité et relivré</t>
        </is>
      </c>
    </row>
    <row r="13" ht="26.4" customHeight="1" s="32">
      <c r="A13" s="21" t="inlineStr">
        <is>
          <t>Terminale spécialité</t>
        </is>
      </c>
      <c r="B13" s="21" t="inlineStr">
        <is>
          <t>Programme de spécialité + épreuve</t>
        </is>
      </c>
      <c r="C13" s="21" t="inlineStr">
        <is>
          <t>BO n°14 du 02/04/2026 (NOR MENE2602919A) ; note du 11/09/2026 (NOR MENE2622642N)</t>
        </is>
      </c>
      <c r="D13" s="21" t="inlineStr">
        <is>
          <t>Rentrée 2027 ; bac 2028</t>
        </is>
      </c>
      <c r="E13" s="21" t="inlineStr">
        <is>
          <t>Édition 2027 livrée ; l’édition actuelle suit le programme 2019, valable en 2026-2027</t>
        </is>
      </c>
    </row>
    <row r="14">
      <c r="A14" s="21" t="inlineStr">
        <is>
          <t>Physique-chimie Terminale</t>
        </is>
      </c>
      <c r="B14" s="21" t="inlineStr">
        <is>
          <t>Programme de spécialité + épreuve</t>
        </is>
      </c>
      <c r="C14" s="21" t="inlineStr">
        <is>
          <t>BO spécial n°8 du 25/07/2019 ; note du 11/09/2026</t>
        </is>
      </c>
      <c r="D14" s="21" t="inlineStr">
        <is>
          <t>En vigueur ; session 2027</t>
        </is>
      </c>
      <c r="E14" s="21" t="inlineStr">
        <is>
          <t>Livre terminé, livraison à finir</t>
        </is>
      </c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2026-10-23T19:37:17Z</dcterms:created>
  <dcterms:modified xmlns:dcterms="http://purl.org/dc/terms/" xmlns:xsi="http://www.w3.org/2001/XMLSchema-instance" xsi:type="dcterms:W3CDTF">2026-10-25T17:35:51Z</dcterms:modified>
  <cp:lastModifiedBy>SWEELCO-AT</cp:lastModifiedBy>
</cp:coreProperties>
</file>